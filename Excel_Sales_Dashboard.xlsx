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Data Analyst\Domain Class\Advanced excel\Excel dashboard\"/>
    </mc:Choice>
  </mc:AlternateContent>
  <xr:revisionPtr revIDLastSave="0" documentId="13_ncr:1_{4CB8D1AC-79AF-4D62-B0F1-44665CBA1C0F}" xr6:coauthVersionLast="47" xr6:coauthVersionMax="47" xr10:uidLastSave="{00000000-0000-0000-0000-000000000000}"/>
  <bookViews>
    <workbookView xWindow="-110" yWindow="-110" windowWidth="19420" windowHeight="10300" activeTab="2" xr2:uid="{1E3F4ECC-0CDD-4D91-AF6E-0261C82AB875}"/>
  </bookViews>
  <sheets>
    <sheet name="Sales_data" sheetId="1" r:id="rId1"/>
    <sheet name="Pivot" sheetId="3" r:id="rId2"/>
    <sheet name="Dashboard" sheetId="5" r:id="rId3"/>
  </sheets>
  <definedNames>
    <definedName name="_xlnm._FilterDatabase" localSheetId="1" hidden="1">Pivot!$A$3:$E$18</definedName>
    <definedName name="NativeTimeline_Purchase_Date">#N/A</definedName>
    <definedName name="Slicer_Gender">#N/A</definedName>
    <definedName name="Slicer_Location">#N/A</definedName>
    <definedName name="Slicer_Product_Category">#N/A</definedName>
    <definedName name="Slicer_Purchase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9" i="3" l="1"/>
  <c r="M6" i="3"/>
  <c r="M4" i="3"/>
</calcChain>
</file>

<file path=xl/sharedStrings.xml><?xml version="1.0" encoding="utf-8"?>
<sst xmlns="http://schemas.openxmlformats.org/spreadsheetml/2006/main" count="3566" uniqueCount="71">
  <si>
    <t>CID</t>
  </si>
  <si>
    <t>TID</t>
  </si>
  <si>
    <t>Gender</t>
  </si>
  <si>
    <t>Female</t>
  </si>
  <si>
    <t>Male</t>
  </si>
  <si>
    <t>Other</t>
  </si>
  <si>
    <t>Age Group</t>
  </si>
  <si>
    <t>Purchase Date</t>
  </si>
  <si>
    <t>Product Category</t>
  </si>
  <si>
    <t>Discount Availed</t>
  </si>
  <si>
    <t>Discount Name</t>
  </si>
  <si>
    <t>Discount Amount (INR)</t>
  </si>
  <si>
    <t>Gross Amount</t>
  </si>
  <si>
    <t>Net Amount</t>
  </si>
  <si>
    <t>Purchase Method</t>
  </si>
  <si>
    <t>Location</t>
  </si>
  <si>
    <t>25-45</t>
  </si>
  <si>
    <t>60 and above</t>
  </si>
  <si>
    <t>18-25</t>
  </si>
  <si>
    <t>45-60</t>
  </si>
  <si>
    <t>under 18</t>
  </si>
  <si>
    <t>Electronics</t>
  </si>
  <si>
    <t>Yes</t>
  </si>
  <si>
    <t>FESTIVE50</t>
  </si>
  <si>
    <t>SEASONALOFFER21</t>
  </si>
  <si>
    <t>Clothing</t>
  </si>
  <si>
    <t>Sports &amp; Fitness</t>
  </si>
  <si>
    <t>No</t>
  </si>
  <si>
    <t>NO DISCOUNT</t>
  </si>
  <si>
    <t>WELCOME5</t>
  </si>
  <si>
    <t>Pet Care</t>
  </si>
  <si>
    <t>SAVE10</t>
  </si>
  <si>
    <t>Home &amp; Kitchen</t>
  </si>
  <si>
    <t>NEWYEARS</t>
  </si>
  <si>
    <t>Books</t>
  </si>
  <si>
    <t>Beauty and Health</t>
  </si>
  <si>
    <t>Toys &amp; Games</t>
  </si>
  <si>
    <t>Credit Card</t>
  </si>
  <si>
    <t>Ahmedabad</t>
  </si>
  <si>
    <t>Bangalore</t>
  </si>
  <si>
    <t>Delhi</t>
  </si>
  <si>
    <t>Debit Card</t>
  </si>
  <si>
    <t>PhonePe UPI</t>
  </si>
  <si>
    <t>Google Pay UPI</t>
  </si>
  <si>
    <t>Chennai</t>
  </si>
  <si>
    <t>Net Banking</t>
  </si>
  <si>
    <t>Dehradun</t>
  </si>
  <si>
    <t>Cash on Delivery</t>
  </si>
  <si>
    <t>Pune</t>
  </si>
  <si>
    <t>Hyderabad</t>
  </si>
  <si>
    <t>Paytm UPI</t>
  </si>
  <si>
    <t>Mumbai</t>
  </si>
  <si>
    <t>Jaipur</t>
  </si>
  <si>
    <t>Lucknow</t>
  </si>
  <si>
    <t>Kolkata</t>
  </si>
  <si>
    <t>International Card</t>
  </si>
  <si>
    <t>Srinagar</t>
  </si>
  <si>
    <t>Varanasi</t>
  </si>
  <si>
    <t>Row Labels</t>
  </si>
  <si>
    <t>Grand Total</t>
  </si>
  <si>
    <t>Sum of Net Amount</t>
  </si>
  <si>
    <t>Sum of Discount Amount (INR)</t>
  </si>
  <si>
    <t>2019</t>
  </si>
  <si>
    <t>2020</t>
  </si>
  <si>
    <t>2021</t>
  </si>
  <si>
    <t>2022</t>
  </si>
  <si>
    <t>2023</t>
  </si>
  <si>
    <t>2024</t>
  </si>
  <si>
    <t>Toatl Sales</t>
  </si>
  <si>
    <t>Total Average</t>
  </si>
  <si>
    <t>No of Trasncations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</si>
</sst>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164" fontId="1" fillId="0" borderId="0" applyFont="0" applyFill="0" applyBorder="0" applyAlignment="0" applyProtection="0"/>
  </cellStyleXfs>
  <cellXfs count="20">
    <xf numFmtId="0" fontId="0" fillId="0" borderId="0" xfId="0"/>
    <xf numFmtId="0" fontId="2" fillId="0" borderId="0" xfId="0" applyFont="1"/>
    <xf numFmtId="0" fontId="0" fillId="0" borderId="1" xfId="0" applyBorder="1"/>
    <xf numFmtId="14" fontId="0" fillId="0" borderId="1" xfId="0" applyNumberFormat="1" applyBorder="1"/>
    <xf numFmtId="0" fontId="0" fillId="0" borderId="2" xfId="0" applyBorder="1"/>
    <xf numFmtId="0" fontId="0" fillId="0" borderId="3" xfId="0"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2" fillId="2" borderId="4" xfId="0" applyFont="1" applyFill="1" applyBorder="1"/>
    <xf numFmtId="0" fontId="2" fillId="2" borderId="5" xfId="0" applyFont="1" applyFill="1" applyBorder="1"/>
    <xf numFmtId="14" fontId="2" fillId="2" borderId="5" xfId="0" applyNumberFormat="1" applyFont="1" applyFill="1" applyBorder="1"/>
    <xf numFmtId="0" fontId="2" fillId="2" borderId="6" xfId="0" applyFont="1" applyFill="1" applyBorder="1"/>
    <xf numFmtId="0" fontId="0" fillId="0" borderId="0" xfId="0" pivotButton="1"/>
    <xf numFmtId="0" fontId="0" fillId="0" borderId="0" xfId="0" applyAlignment="1">
      <alignment horizontal="left"/>
    </xf>
    <xf numFmtId="164" fontId="0" fillId="0" borderId="0" xfId="1" applyFont="1"/>
    <xf numFmtId="0" fontId="0" fillId="3" borderId="0" xfId="0" applyFill="1"/>
    <xf numFmtId="2" fontId="0" fillId="0" borderId="0" xfId="0" applyNumberFormat="1"/>
    <xf numFmtId="0" fontId="0" fillId="0" borderId="0" xfId="0" applyNumberFormat="1"/>
  </cellXfs>
  <cellStyles count="2">
    <cellStyle name="Comma" xfId="1" builtinId="3"/>
    <cellStyle name="Normal" xfId="0" builtinId="0"/>
  </cellStyles>
  <dxfs count="17">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Pivot!$A$4:$A$13</c:f>
              <c:strCache>
                <c:ptCount val="9"/>
                <c:pt idx="0">
                  <c:v>Electronics</c:v>
                </c:pt>
                <c:pt idx="1">
                  <c:v>Clothing</c:v>
                </c:pt>
                <c:pt idx="2">
                  <c:v>Beauty and Health</c:v>
                </c:pt>
                <c:pt idx="3">
                  <c:v>Home &amp; Kitchen</c:v>
                </c:pt>
                <c:pt idx="4">
                  <c:v>Sports &amp; Fitness</c:v>
                </c:pt>
                <c:pt idx="5">
                  <c:v>Toys &amp; Games</c:v>
                </c:pt>
                <c:pt idx="6">
                  <c:v>Books</c:v>
                </c:pt>
                <c:pt idx="7">
                  <c:v>Other</c:v>
                </c:pt>
                <c:pt idx="8">
                  <c:v>Pet Care</c:v>
                </c:pt>
              </c:strCache>
            </c:strRef>
          </c:cat>
          <c:val>
            <c:numRef>
              <c:f>Pivot!$B$4:$B$13</c:f>
              <c:numCache>
                <c:formatCode>General</c:formatCode>
                <c:ptCount val="9"/>
                <c:pt idx="0">
                  <c:v>408960.91000000003</c:v>
                </c:pt>
                <c:pt idx="1">
                  <c:v>273280.59999999992</c:v>
                </c:pt>
                <c:pt idx="2">
                  <c:v>267062.84999999998</c:v>
                </c:pt>
                <c:pt idx="3">
                  <c:v>162884.42000000001</c:v>
                </c:pt>
                <c:pt idx="4">
                  <c:v>132743.10999999996</c:v>
                </c:pt>
                <c:pt idx="5">
                  <c:v>71289.8</c:v>
                </c:pt>
                <c:pt idx="6">
                  <c:v>57650.719999999987</c:v>
                </c:pt>
                <c:pt idx="7">
                  <c:v>51667.419999999991</c:v>
                </c:pt>
                <c:pt idx="8">
                  <c:v>50391.13</c:v>
                </c:pt>
              </c:numCache>
            </c:numRef>
          </c:val>
          <c:extLst>
            <c:ext xmlns:c16="http://schemas.microsoft.com/office/drawing/2014/chart" uri="{C3380CC4-5D6E-409C-BE32-E72D297353CC}">
              <c16:uniqueId val="{00000000-F51C-4BC1-BE13-E02F06F160A8}"/>
            </c:ext>
          </c:extLst>
        </c:ser>
        <c:dLbls>
          <c:showLegendKey val="0"/>
          <c:showVal val="0"/>
          <c:showCatName val="0"/>
          <c:showSerName val="0"/>
          <c:showPercent val="0"/>
          <c:showBubbleSize val="0"/>
        </c:dLbls>
        <c:gapWidth val="219"/>
        <c:overlap val="-27"/>
        <c:axId val="862487695"/>
        <c:axId val="862488527"/>
      </c:barChart>
      <c:catAx>
        <c:axId val="862487695"/>
        <c:scaling>
          <c:orientation val="minMax"/>
        </c:scaling>
        <c:delete val="1"/>
        <c:axPos val="b"/>
        <c:numFmt formatCode="General" sourceLinked="1"/>
        <c:majorTickMark val="none"/>
        <c:minorTickMark val="none"/>
        <c:tickLblPos val="nextTo"/>
        <c:crossAx val="862488527"/>
        <c:crosses val="autoZero"/>
        <c:auto val="1"/>
        <c:lblAlgn val="ctr"/>
        <c:lblOffset val="100"/>
        <c:noMultiLvlLbl val="0"/>
      </c:catAx>
      <c:valAx>
        <c:axId val="8624885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487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Pivot!$E$3</c:f>
              <c:strCache>
                <c:ptCount val="1"/>
                <c:pt idx="0">
                  <c:v>Total</c:v>
                </c:pt>
              </c:strCache>
            </c:strRef>
          </c:tx>
          <c:spPr>
            <a:solidFill>
              <a:schemeClr val="accent1"/>
            </a:solidFill>
            <a:ln>
              <a:noFill/>
            </a:ln>
            <a:effectLst/>
            <a:sp3d/>
          </c:spPr>
          <c:invertIfNegative val="0"/>
          <c:cat>
            <c:strRef>
              <c:f>Pivot!$D$4:$D$18</c:f>
              <c:strCache>
                <c:ptCount val="14"/>
                <c:pt idx="0">
                  <c:v>Dehradun</c:v>
                </c:pt>
                <c:pt idx="1">
                  <c:v>Varanasi</c:v>
                </c:pt>
                <c:pt idx="2">
                  <c:v>Srinagar</c:v>
                </c:pt>
                <c:pt idx="3">
                  <c:v>Other</c:v>
                </c:pt>
                <c:pt idx="4">
                  <c:v>Jaipur</c:v>
                </c:pt>
                <c:pt idx="5">
                  <c:v>Lucknow</c:v>
                </c:pt>
                <c:pt idx="6">
                  <c:v>Chennai</c:v>
                </c:pt>
                <c:pt idx="7">
                  <c:v>Ahmedabad</c:v>
                </c:pt>
                <c:pt idx="8">
                  <c:v>Kolkata</c:v>
                </c:pt>
                <c:pt idx="9">
                  <c:v>Pune</c:v>
                </c:pt>
                <c:pt idx="10">
                  <c:v>Hyderabad</c:v>
                </c:pt>
                <c:pt idx="11">
                  <c:v>Bangalore</c:v>
                </c:pt>
                <c:pt idx="12">
                  <c:v>Mumbai</c:v>
                </c:pt>
                <c:pt idx="13">
                  <c:v>Delhi</c:v>
                </c:pt>
              </c:strCache>
            </c:strRef>
          </c:cat>
          <c:val>
            <c:numRef>
              <c:f>Pivot!$E$4:$E$18</c:f>
              <c:numCache>
                <c:formatCode>General</c:formatCode>
                <c:ptCount val="14"/>
                <c:pt idx="0">
                  <c:v>11054.77</c:v>
                </c:pt>
                <c:pt idx="1">
                  <c:v>21436.530000000002</c:v>
                </c:pt>
                <c:pt idx="2">
                  <c:v>24163.440000000002</c:v>
                </c:pt>
                <c:pt idx="3">
                  <c:v>24731.83</c:v>
                </c:pt>
                <c:pt idx="4">
                  <c:v>34012.839999999997</c:v>
                </c:pt>
                <c:pt idx="5">
                  <c:v>39668.33</c:v>
                </c:pt>
                <c:pt idx="6">
                  <c:v>76655.949999999983</c:v>
                </c:pt>
                <c:pt idx="7">
                  <c:v>77968.239999999991</c:v>
                </c:pt>
                <c:pt idx="8">
                  <c:v>78226.730000000025</c:v>
                </c:pt>
                <c:pt idx="9">
                  <c:v>89114.36</c:v>
                </c:pt>
                <c:pt idx="10">
                  <c:v>181955.91999999993</c:v>
                </c:pt>
                <c:pt idx="11">
                  <c:v>237906.35999999996</c:v>
                </c:pt>
                <c:pt idx="12">
                  <c:v>263305.73</c:v>
                </c:pt>
                <c:pt idx="13">
                  <c:v>315729.92999999993</c:v>
                </c:pt>
              </c:numCache>
            </c:numRef>
          </c:val>
          <c:extLst>
            <c:ext xmlns:c16="http://schemas.microsoft.com/office/drawing/2014/chart" uri="{C3380CC4-5D6E-409C-BE32-E72D297353CC}">
              <c16:uniqueId val="{00000000-00F7-455E-B98D-4AEEB7CCFABB}"/>
            </c:ext>
          </c:extLst>
        </c:ser>
        <c:dLbls>
          <c:showLegendKey val="0"/>
          <c:showVal val="0"/>
          <c:showCatName val="0"/>
          <c:showSerName val="0"/>
          <c:showPercent val="0"/>
          <c:showBubbleSize val="0"/>
        </c:dLbls>
        <c:gapWidth val="150"/>
        <c:shape val="box"/>
        <c:axId val="261110127"/>
        <c:axId val="261110543"/>
        <c:axId val="0"/>
      </c:bar3DChart>
      <c:catAx>
        <c:axId val="261110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10543"/>
        <c:crosses val="autoZero"/>
        <c:auto val="1"/>
        <c:lblAlgn val="ctr"/>
        <c:lblOffset val="100"/>
        <c:noMultiLvlLbl val="0"/>
      </c:catAx>
      <c:valAx>
        <c:axId val="261110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1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04-446F-B339-99FFC609ED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04-446F-B339-99FFC609ED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04-446F-B339-99FFC609EDB6}"/>
              </c:ext>
            </c:extLst>
          </c:dPt>
          <c:cat>
            <c:strRef>
              <c:f>Pivot!$G$4:$G$7</c:f>
              <c:strCache>
                <c:ptCount val="3"/>
                <c:pt idx="0">
                  <c:v>Female</c:v>
                </c:pt>
                <c:pt idx="1">
                  <c:v>Male</c:v>
                </c:pt>
                <c:pt idx="2">
                  <c:v>Other</c:v>
                </c:pt>
              </c:strCache>
            </c:strRef>
          </c:cat>
          <c:val>
            <c:numRef>
              <c:f>Pivot!$H$4:$H$7</c:f>
              <c:numCache>
                <c:formatCode>General</c:formatCode>
                <c:ptCount val="3"/>
                <c:pt idx="0">
                  <c:v>472783.29</c:v>
                </c:pt>
                <c:pt idx="1">
                  <c:v>514819</c:v>
                </c:pt>
                <c:pt idx="2">
                  <c:v>488328.67</c:v>
                </c:pt>
              </c:numCache>
            </c:numRef>
          </c:val>
          <c:extLst>
            <c:ext xmlns:c16="http://schemas.microsoft.com/office/drawing/2014/chart" uri="{C3380CC4-5D6E-409C-BE32-E72D297353CC}">
              <c16:uniqueId val="{00000000-81A6-44B5-9DBA-A65175ED7B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Pivot!$H$14</c:f>
              <c:strCache>
                <c:ptCount val="1"/>
                <c:pt idx="0">
                  <c:v>Total</c:v>
                </c:pt>
              </c:strCache>
            </c:strRef>
          </c:tx>
          <c:spPr>
            <a:ln w="28575" cap="rnd">
              <a:solidFill>
                <a:schemeClr val="accent1"/>
              </a:solidFill>
              <a:round/>
            </a:ln>
            <a:effectLst/>
          </c:spPr>
          <c:marker>
            <c:symbol val="none"/>
          </c:marker>
          <c:cat>
            <c:strRef>
              <c:f>Pivot!$G$15:$G$21</c:f>
              <c:strCache>
                <c:ptCount val="6"/>
                <c:pt idx="0">
                  <c:v>2024</c:v>
                </c:pt>
                <c:pt idx="1">
                  <c:v>2023</c:v>
                </c:pt>
                <c:pt idx="2">
                  <c:v>2022</c:v>
                </c:pt>
                <c:pt idx="3">
                  <c:v>2021</c:v>
                </c:pt>
                <c:pt idx="4">
                  <c:v>2020</c:v>
                </c:pt>
                <c:pt idx="5">
                  <c:v>2019</c:v>
                </c:pt>
              </c:strCache>
            </c:strRef>
          </c:cat>
          <c:val>
            <c:numRef>
              <c:f>Pivot!$H$15:$H$21</c:f>
              <c:numCache>
                <c:formatCode>General</c:formatCode>
                <c:ptCount val="6"/>
                <c:pt idx="0">
                  <c:v>209731.22</c:v>
                </c:pt>
                <c:pt idx="1">
                  <c:v>289360.80999999994</c:v>
                </c:pt>
                <c:pt idx="2">
                  <c:v>343263.75999999978</c:v>
                </c:pt>
                <c:pt idx="3">
                  <c:v>209482.37999999998</c:v>
                </c:pt>
                <c:pt idx="4">
                  <c:v>286524.7199999998</c:v>
                </c:pt>
                <c:pt idx="5">
                  <c:v>137568.06999999998</c:v>
                </c:pt>
              </c:numCache>
            </c:numRef>
          </c:val>
          <c:smooth val="0"/>
          <c:extLst>
            <c:ext xmlns:c16="http://schemas.microsoft.com/office/drawing/2014/chart" uri="{C3380CC4-5D6E-409C-BE32-E72D297353CC}">
              <c16:uniqueId val="{00000000-B91A-4BE4-BE99-11DA1889B539}"/>
            </c:ext>
          </c:extLst>
        </c:ser>
        <c:dLbls>
          <c:showLegendKey val="0"/>
          <c:showVal val="0"/>
          <c:showCatName val="0"/>
          <c:showSerName val="0"/>
          <c:showPercent val="0"/>
          <c:showBubbleSize val="0"/>
        </c:dLbls>
        <c:smooth val="0"/>
        <c:axId val="812401583"/>
        <c:axId val="812398671"/>
      </c:lineChart>
      <c:catAx>
        <c:axId val="81240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98671"/>
        <c:crosses val="autoZero"/>
        <c:auto val="1"/>
        <c:lblAlgn val="ctr"/>
        <c:lblOffset val="100"/>
        <c:noMultiLvlLbl val="0"/>
      </c:catAx>
      <c:valAx>
        <c:axId val="812398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0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Pivot!$H$9</c:f>
              <c:strCache>
                <c:ptCount val="1"/>
                <c:pt idx="0">
                  <c:v>Sum of Net Amount</c:v>
                </c:pt>
              </c:strCache>
            </c:strRef>
          </c:tx>
          <c:spPr>
            <a:solidFill>
              <a:schemeClr val="accent1"/>
            </a:solidFill>
            <a:ln>
              <a:noFill/>
            </a:ln>
            <a:effectLst/>
          </c:spPr>
          <c:invertIfNegative val="0"/>
          <c:cat>
            <c:strRef>
              <c:f>Pivot!$G$10:$G$12</c:f>
              <c:strCache>
                <c:ptCount val="2"/>
                <c:pt idx="0">
                  <c:v>Yes</c:v>
                </c:pt>
                <c:pt idx="1">
                  <c:v>No</c:v>
                </c:pt>
              </c:strCache>
            </c:strRef>
          </c:cat>
          <c:val>
            <c:numRef>
              <c:f>Pivot!$H$10:$H$12</c:f>
              <c:numCache>
                <c:formatCode>General</c:formatCode>
                <c:ptCount val="2"/>
                <c:pt idx="0">
                  <c:v>686607.32000000007</c:v>
                </c:pt>
                <c:pt idx="1">
                  <c:v>789323.64</c:v>
                </c:pt>
              </c:numCache>
            </c:numRef>
          </c:val>
          <c:extLst>
            <c:ext xmlns:c16="http://schemas.microsoft.com/office/drawing/2014/chart" uri="{C3380CC4-5D6E-409C-BE32-E72D297353CC}">
              <c16:uniqueId val="{00000000-D1E6-4D65-9B5A-1150B68A94B4}"/>
            </c:ext>
          </c:extLst>
        </c:ser>
        <c:ser>
          <c:idx val="1"/>
          <c:order val="1"/>
          <c:tx>
            <c:strRef>
              <c:f>Pivot!$I$9</c:f>
              <c:strCache>
                <c:ptCount val="1"/>
                <c:pt idx="0">
                  <c:v>Sum of Discount Amount (INR)</c:v>
                </c:pt>
              </c:strCache>
            </c:strRef>
          </c:tx>
          <c:spPr>
            <a:solidFill>
              <a:schemeClr val="accent2"/>
            </a:solidFill>
            <a:ln>
              <a:noFill/>
            </a:ln>
            <a:effectLst/>
          </c:spPr>
          <c:invertIfNegative val="0"/>
          <c:cat>
            <c:strRef>
              <c:f>Pivot!$G$10:$G$12</c:f>
              <c:strCache>
                <c:ptCount val="2"/>
                <c:pt idx="0">
                  <c:v>Yes</c:v>
                </c:pt>
                <c:pt idx="1">
                  <c:v>No</c:v>
                </c:pt>
              </c:strCache>
            </c:strRef>
          </c:cat>
          <c:val>
            <c:numRef>
              <c:f>Pivot!$I$10:$I$12</c:f>
              <c:numCache>
                <c:formatCode>General</c:formatCode>
                <c:ptCount val="2"/>
                <c:pt idx="0">
                  <c:v>63964.68</c:v>
                </c:pt>
                <c:pt idx="1">
                  <c:v>0</c:v>
                </c:pt>
              </c:numCache>
            </c:numRef>
          </c:val>
          <c:extLst>
            <c:ext xmlns:c16="http://schemas.microsoft.com/office/drawing/2014/chart" uri="{C3380CC4-5D6E-409C-BE32-E72D297353CC}">
              <c16:uniqueId val="{00000001-D1E6-4D65-9B5A-1150B68A94B4}"/>
            </c:ext>
          </c:extLst>
        </c:ser>
        <c:dLbls>
          <c:showLegendKey val="0"/>
          <c:showVal val="0"/>
          <c:showCatName val="0"/>
          <c:showSerName val="0"/>
          <c:showPercent val="0"/>
          <c:showBubbleSize val="0"/>
        </c:dLbls>
        <c:gapWidth val="219"/>
        <c:overlap val="-27"/>
        <c:axId val="434497423"/>
        <c:axId val="434496591"/>
      </c:barChart>
      <c:catAx>
        <c:axId val="43449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96591"/>
        <c:crosses val="autoZero"/>
        <c:auto val="1"/>
        <c:lblAlgn val="ctr"/>
        <c:lblOffset val="100"/>
        <c:noMultiLvlLbl val="0"/>
      </c:catAx>
      <c:valAx>
        <c:axId val="43449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49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by City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Pivot!$E$3</c:f>
              <c:strCache>
                <c:ptCount val="1"/>
                <c:pt idx="0">
                  <c:v>Total</c:v>
                </c:pt>
              </c:strCache>
            </c:strRef>
          </c:tx>
          <c:spPr>
            <a:solidFill>
              <a:schemeClr val="accent1"/>
            </a:solidFill>
            <a:ln>
              <a:noFill/>
            </a:ln>
            <a:effectLst/>
            <a:sp3d/>
          </c:spPr>
          <c:invertIfNegative val="0"/>
          <c:cat>
            <c:strRef>
              <c:f>Pivot!$D$4:$D$18</c:f>
              <c:strCache>
                <c:ptCount val="14"/>
                <c:pt idx="0">
                  <c:v>Dehradun</c:v>
                </c:pt>
                <c:pt idx="1">
                  <c:v>Varanasi</c:v>
                </c:pt>
                <c:pt idx="2">
                  <c:v>Srinagar</c:v>
                </c:pt>
                <c:pt idx="3">
                  <c:v>Other</c:v>
                </c:pt>
                <c:pt idx="4">
                  <c:v>Jaipur</c:v>
                </c:pt>
                <c:pt idx="5">
                  <c:v>Lucknow</c:v>
                </c:pt>
                <c:pt idx="6">
                  <c:v>Chennai</c:v>
                </c:pt>
                <c:pt idx="7">
                  <c:v>Ahmedabad</c:v>
                </c:pt>
                <c:pt idx="8">
                  <c:v>Kolkata</c:v>
                </c:pt>
                <c:pt idx="9">
                  <c:v>Pune</c:v>
                </c:pt>
                <c:pt idx="10">
                  <c:v>Hyderabad</c:v>
                </c:pt>
                <c:pt idx="11">
                  <c:v>Bangalore</c:v>
                </c:pt>
                <c:pt idx="12">
                  <c:v>Mumbai</c:v>
                </c:pt>
                <c:pt idx="13">
                  <c:v>Delhi</c:v>
                </c:pt>
              </c:strCache>
            </c:strRef>
          </c:cat>
          <c:val>
            <c:numRef>
              <c:f>Pivot!$E$4:$E$18</c:f>
              <c:numCache>
                <c:formatCode>General</c:formatCode>
                <c:ptCount val="14"/>
                <c:pt idx="0">
                  <c:v>11054.77</c:v>
                </c:pt>
                <c:pt idx="1">
                  <c:v>21436.530000000002</c:v>
                </c:pt>
                <c:pt idx="2">
                  <c:v>24163.440000000002</c:v>
                </c:pt>
                <c:pt idx="3">
                  <c:v>24731.83</c:v>
                </c:pt>
                <c:pt idx="4">
                  <c:v>34012.839999999997</c:v>
                </c:pt>
                <c:pt idx="5">
                  <c:v>39668.33</c:v>
                </c:pt>
                <c:pt idx="6">
                  <c:v>76655.949999999983</c:v>
                </c:pt>
                <c:pt idx="7">
                  <c:v>77968.239999999991</c:v>
                </c:pt>
                <c:pt idx="8">
                  <c:v>78226.730000000025</c:v>
                </c:pt>
                <c:pt idx="9">
                  <c:v>89114.36</c:v>
                </c:pt>
                <c:pt idx="10">
                  <c:v>181955.91999999993</c:v>
                </c:pt>
                <c:pt idx="11">
                  <c:v>237906.35999999996</c:v>
                </c:pt>
                <c:pt idx="12">
                  <c:v>263305.73</c:v>
                </c:pt>
                <c:pt idx="13">
                  <c:v>315729.92999999993</c:v>
                </c:pt>
              </c:numCache>
            </c:numRef>
          </c:val>
          <c:extLst>
            <c:ext xmlns:c16="http://schemas.microsoft.com/office/drawing/2014/chart" uri="{C3380CC4-5D6E-409C-BE32-E72D297353CC}">
              <c16:uniqueId val="{00000000-12B5-4975-AC37-4D90D78FE4C3}"/>
            </c:ext>
          </c:extLst>
        </c:ser>
        <c:dLbls>
          <c:showLegendKey val="0"/>
          <c:showVal val="0"/>
          <c:showCatName val="0"/>
          <c:showSerName val="0"/>
          <c:showPercent val="0"/>
          <c:showBubbleSize val="0"/>
        </c:dLbls>
        <c:gapWidth val="150"/>
        <c:shape val="box"/>
        <c:axId val="261110127"/>
        <c:axId val="261110543"/>
        <c:axId val="0"/>
      </c:bar3DChart>
      <c:catAx>
        <c:axId val="261110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1110543"/>
        <c:crosses val="autoZero"/>
        <c:auto val="1"/>
        <c:lblAlgn val="ctr"/>
        <c:lblOffset val="100"/>
        <c:noMultiLvlLbl val="0"/>
      </c:catAx>
      <c:valAx>
        <c:axId val="2611105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111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Product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Pivot!$A$4:$A$13</c:f>
              <c:strCache>
                <c:ptCount val="9"/>
                <c:pt idx="0">
                  <c:v>Electronics</c:v>
                </c:pt>
                <c:pt idx="1">
                  <c:v>Clothing</c:v>
                </c:pt>
                <c:pt idx="2">
                  <c:v>Beauty and Health</c:v>
                </c:pt>
                <c:pt idx="3">
                  <c:v>Home &amp; Kitchen</c:v>
                </c:pt>
                <c:pt idx="4">
                  <c:v>Sports &amp; Fitness</c:v>
                </c:pt>
                <c:pt idx="5">
                  <c:v>Toys &amp; Games</c:v>
                </c:pt>
                <c:pt idx="6">
                  <c:v>Books</c:v>
                </c:pt>
                <c:pt idx="7">
                  <c:v>Other</c:v>
                </c:pt>
                <c:pt idx="8">
                  <c:v>Pet Care</c:v>
                </c:pt>
              </c:strCache>
            </c:strRef>
          </c:cat>
          <c:val>
            <c:numRef>
              <c:f>Pivot!$B$4:$B$13</c:f>
              <c:numCache>
                <c:formatCode>General</c:formatCode>
                <c:ptCount val="9"/>
                <c:pt idx="0">
                  <c:v>408960.91000000003</c:v>
                </c:pt>
                <c:pt idx="1">
                  <c:v>273280.59999999992</c:v>
                </c:pt>
                <c:pt idx="2">
                  <c:v>267062.84999999998</c:v>
                </c:pt>
                <c:pt idx="3">
                  <c:v>162884.42000000001</c:v>
                </c:pt>
                <c:pt idx="4">
                  <c:v>132743.10999999996</c:v>
                </c:pt>
                <c:pt idx="5">
                  <c:v>71289.8</c:v>
                </c:pt>
                <c:pt idx="6">
                  <c:v>57650.719999999987</c:v>
                </c:pt>
                <c:pt idx="7">
                  <c:v>51667.419999999991</c:v>
                </c:pt>
                <c:pt idx="8">
                  <c:v>50391.13</c:v>
                </c:pt>
              </c:numCache>
            </c:numRef>
          </c:val>
          <c:extLst>
            <c:ext xmlns:c16="http://schemas.microsoft.com/office/drawing/2014/chart" uri="{C3380CC4-5D6E-409C-BE32-E72D297353CC}">
              <c16:uniqueId val="{00000000-B83A-4F56-9D83-5659B7E224B9}"/>
            </c:ext>
          </c:extLst>
        </c:ser>
        <c:dLbls>
          <c:showLegendKey val="0"/>
          <c:showVal val="0"/>
          <c:showCatName val="0"/>
          <c:showSerName val="0"/>
          <c:showPercent val="0"/>
          <c:showBubbleSize val="0"/>
        </c:dLbls>
        <c:gapWidth val="219"/>
        <c:overlap val="-27"/>
        <c:axId val="862487695"/>
        <c:axId val="862488527"/>
      </c:barChart>
      <c:catAx>
        <c:axId val="86248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2488527"/>
        <c:crosses val="autoZero"/>
        <c:auto val="1"/>
        <c:lblAlgn val="ctr"/>
        <c:lblOffset val="100"/>
        <c:noMultiLvlLbl val="0"/>
      </c:catAx>
      <c:valAx>
        <c:axId val="862488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248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Yearly Revenue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bg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Pivot!$G$15:$G$21</c:f>
              <c:strCache>
                <c:ptCount val="6"/>
                <c:pt idx="0">
                  <c:v>2024</c:v>
                </c:pt>
                <c:pt idx="1">
                  <c:v>2023</c:v>
                </c:pt>
                <c:pt idx="2">
                  <c:v>2022</c:v>
                </c:pt>
                <c:pt idx="3">
                  <c:v>2021</c:v>
                </c:pt>
                <c:pt idx="4">
                  <c:v>2020</c:v>
                </c:pt>
                <c:pt idx="5">
                  <c:v>2019</c:v>
                </c:pt>
              </c:strCache>
            </c:strRef>
          </c:cat>
          <c:val>
            <c:numRef>
              <c:f>Pivot!$H$15:$H$21</c:f>
              <c:numCache>
                <c:formatCode>General</c:formatCode>
                <c:ptCount val="6"/>
                <c:pt idx="0">
                  <c:v>209731.22</c:v>
                </c:pt>
                <c:pt idx="1">
                  <c:v>289360.80999999994</c:v>
                </c:pt>
                <c:pt idx="2">
                  <c:v>343263.75999999978</c:v>
                </c:pt>
                <c:pt idx="3">
                  <c:v>209482.37999999998</c:v>
                </c:pt>
                <c:pt idx="4">
                  <c:v>286524.7199999998</c:v>
                </c:pt>
                <c:pt idx="5">
                  <c:v>137568.06999999998</c:v>
                </c:pt>
              </c:numCache>
            </c:numRef>
          </c:val>
          <c:smooth val="1"/>
          <c:extLst>
            <c:ext xmlns:c16="http://schemas.microsoft.com/office/drawing/2014/chart" uri="{C3380CC4-5D6E-409C-BE32-E72D297353CC}">
              <c16:uniqueId val="{00000002-A1BE-4AB1-B0CA-4F58A8B8D9F9}"/>
            </c:ext>
          </c:extLst>
        </c:ser>
        <c:dLbls>
          <c:showLegendKey val="0"/>
          <c:showVal val="0"/>
          <c:showCatName val="0"/>
          <c:showSerName val="0"/>
          <c:showPercent val="0"/>
          <c:showBubbleSize val="0"/>
        </c:dLbls>
        <c:marker val="1"/>
        <c:smooth val="0"/>
        <c:axId val="812401583"/>
        <c:axId val="812398671"/>
      </c:lineChart>
      <c:catAx>
        <c:axId val="81240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2398671"/>
        <c:crosses val="autoZero"/>
        <c:auto val="1"/>
        <c:lblAlgn val="ctr"/>
        <c:lblOffset val="100"/>
        <c:noMultiLvlLbl val="0"/>
      </c:catAx>
      <c:valAx>
        <c:axId val="812398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240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Return Status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Pivot!$H$9</c:f>
              <c:strCache>
                <c:ptCount val="1"/>
                <c:pt idx="0">
                  <c:v>Sum of Net Amount</c:v>
                </c:pt>
              </c:strCache>
            </c:strRef>
          </c:tx>
          <c:spPr>
            <a:solidFill>
              <a:schemeClr val="accent1"/>
            </a:solidFill>
            <a:ln>
              <a:noFill/>
            </a:ln>
            <a:effectLst/>
          </c:spPr>
          <c:invertIfNegative val="0"/>
          <c:cat>
            <c:strRef>
              <c:f>Pivot!$G$10:$G$12</c:f>
              <c:strCache>
                <c:ptCount val="2"/>
                <c:pt idx="0">
                  <c:v>Yes</c:v>
                </c:pt>
                <c:pt idx="1">
                  <c:v>No</c:v>
                </c:pt>
              </c:strCache>
            </c:strRef>
          </c:cat>
          <c:val>
            <c:numRef>
              <c:f>Pivot!$H$10:$H$12</c:f>
              <c:numCache>
                <c:formatCode>General</c:formatCode>
                <c:ptCount val="2"/>
                <c:pt idx="0">
                  <c:v>686607.32000000007</c:v>
                </c:pt>
                <c:pt idx="1">
                  <c:v>789323.64</c:v>
                </c:pt>
              </c:numCache>
            </c:numRef>
          </c:val>
          <c:extLst>
            <c:ext xmlns:c16="http://schemas.microsoft.com/office/drawing/2014/chart" uri="{C3380CC4-5D6E-409C-BE32-E72D297353CC}">
              <c16:uniqueId val="{00000000-9782-4CBE-B895-317DCCCDF771}"/>
            </c:ext>
          </c:extLst>
        </c:ser>
        <c:ser>
          <c:idx val="1"/>
          <c:order val="1"/>
          <c:tx>
            <c:strRef>
              <c:f>Pivot!$I$9</c:f>
              <c:strCache>
                <c:ptCount val="1"/>
                <c:pt idx="0">
                  <c:v>Sum of Discount Amount (INR)</c:v>
                </c:pt>
              </c:strCache>
            </c:strRef>
          </c:tx>
          <c:spPr>
            <a:solidFill>
              <a:schemeClr val="accent2"/>
            </a:solidFill>
            <a:ln>
              <a:noFill/>
            </a:ln>
            <a:effectLst/>
          </c:spPr>
          <c:invertIfNegative val="0"/>
          <c:cat>
            <c:strRef>
              <c:f>Pivot!$G$10:$G$12</c:f>
              <c:strCache>
                <c:ptCount val="2"/>
                <c:pt idx="0">
                  <c:v>Yes</c:v>
                </c:pt>
                <c:pt idx="1">
                  <c:v>No</c:v>
                </c:pt>
              </c:strCache>
            </c:strRef>
          </c:cat>
          <c:val>
            <c:numRef>
              <c:f>Pivot!$I$10:$I$12</c:f>
              <c:numCache>
                <c:formatCode>General</c:formatCode>
                <c:ptCount val="2"/>
                <c:pt idx="0">
                  <c:v>63964.68</c:v>
                </c:pt>
                <c:pt idx="1">
                  <c:v>0</c:v>
                </c:pt>
              </c:numCache>
            </c:numRef>
          </c:val>
          <c:extLst>
            <c:ext xmlns:c16="http://schemas.microsoft.com/office/drawing/2014/chart" uri="{C3380CC4-5D6E-409C-BE32-E72D297353CC}">
              <c16:uniqueId val="{00000001-9782-4CBE-B895-317DCCCDF771}"/>
            </c:ext>
          </c:extLst>
        </c:ser>
        <c:dLbls>
          <c:showLegendKey val="0"/>
          <c:showVal val="0"/>
          <c:showCatName val="0"/>
          <c:showSerName val="0"/>
          <c:showPercent val="0"/>
          <c:showBubbleSize val="0"/>
        </c:dLbls>
        <c:gapWidth val="219"/>
        <c:overlap val="-27"/>
        <c:axId val="434497423"/>
        <c:axId val="434496591"/>
      </c:barChart>
      <c:catAx>
        <c:axId val="43449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4496591"/>
        <c:crosses val="autoZero"/>
        <c:auto val="1"/>
        <c:lblAlgn val="ctr"/>
        <c:lblOffset val="100"/>
        <c:noMultiLvlLbl val="0"/>
      </c:catAx>
      <c:valAx>
        <c:axId val="43449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449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Distribution by Gender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3127415521980154"/>
              <c:y val="-0.116239292770854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w="19050">
            <a:solidFill>
              <a:schemeClr val="lt1"/>
            </a:solidFill>
          </a:ln>
          <a:effectLst/>
        </c:spPr>
        <c:dLbl>
          <c:idx val="0"/>
          <c:layout>
            <c:manualLayout>
              <c:x val="-0.24613904103712786"/>
              <c:y val="1.45299115963567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3"/>
          </a:solidFill>
          <a:ln w="19050">
            <a:solidFill>
              <a:schemeClr val="lt1"/>
            </a:solidFill>
          </a:ln>
          <a:effectLst/>
        </c:spPr>
        <c:dLbl>
          <c:idx val="0"/>
          <c:layout>
            <c:manualLayout>
              <c:x val="0.12471044745881144"/>
              <c:y val="-0.13076920436721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3127415521980154"/>
              <c:y val="-0.116239292770854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4613904103712786"/>
              <c:y val="1.45299115963567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2471044745881144"/>
              <c:y val="-0.13076920436721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54-4591-9A2A-10220D5037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54-4591-9A2A-10220D5037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54-4591-9A2A-10220D503730}"/>
              </c:ext>
            </c:extLst>
          </c:dPt>
          <c:cat>
            <c:strRef>
              <c:f>Pivot!$G$4:$G$7</c:f>
              <c:strCache>
                <c:ptCount val="3"/>
                <c:pt idx="0">
                  <c:v>Female</c:v>
                </c:pt>
                <c:pt idx="1">
                  <c:v>Male</c:v>
                </c:pt>
                <c:pt idx="2">
                  <c:v>Other</c:v>
                </c:pt>
              </c:strCache>
            </c:strRef>
          </c:cat>
          <c:val>
            <c:numRef>
              <c:f>Pivot!$H$4:$H$7</c:f>
              <c:numCache>
                <c:formatCode>General</c:formatCode>
                <c:ptCount val="3"/>
                <c:pt idx="0">
                  <c:v>472783.29</c:v>
                </c:pt>
                <c:pt idx="1">
                  <c:v>514819</c:v>
                </c:pt>
                <c:pt idx="2">
                  <c:v>488328.67</c:v>
                </c:pt>
              </c:numCache>
            </c:numRef>
          </c:val>
          <c:extLst>
            <c:ext xmlns:c16="http://schemas.microsoft.com/office/drawing/2014/chart" uri="{C3380CC4-5D6E-409C-BE32-E72D297353CC}">
              <c16:uniqueId val="{00000006-E954-4591-9A2A-10220D50373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238125</xdr:colOff>
      <xdr:row>31</xdr:row>
      <xdr:rowOff>120650</xdr:rowOff>
    </xdr:from>
    <xdr:to>
      <xdr:col>4</xdr:col>
      <xdr:colOff>990600</xdr:colOff>
      <xdr:row>42</xdr:row>
      <xdr:rowOff>127000</xdr:rowOff>
    </xdr:to>
    <xdr:graphicFrame macro="">
      <xdr:nvGraphicFramePr>
        <xdr:cNvPr id="2" name="Chart 1">
          <a:extLst>
            <a:ext uri="{FF2B5EF4-FFF2-40B4-BE49-F238E27FC236}">
              <a16:creationId xmlns:a16="http://schemas.microsoft.com/office/drawing/2014/main" id="{F6A6F28B-30E1-05A4-E4B8-FAAABABF8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981075</xdr:colOff>
      <xdr:row>22</xdr:row>
      <xdr:rowOff>0</xdr:rowOff>
    </xdr:from>
    <xdr:to>
      <xdr:col>7</xdr:col>
      <xdr:colOff>1219200</xdr:colOff>
      <xdr:row>32</xdr:row>
      <xdr:rowOff>114300</xdr:rowOff>
    </xdr:to>
    <xdr:graphicFrame macro="">
      <xdr:nvGraphicFramePr>
        <xdr:cNvPr id="3" name="Chart 2">
          <a:extLst>
            <a:ext uri="{FF2B5EF4-FFF2-40B4-BE49-F238E27FC236}">
              <a16:creationId xmlns:a16="http://schemas.microsoft.com/office/drawing/2014/main" id="{723C31F7-4DFF-222E-6FA8-0D19CE1F4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200025</xdr:colOff>
      <xdr:row>22</xdr:row>
      <xdr:rowOff>0</xdr:rowOff>
    </xdr:from>
    <xdr:to>
      <xdr:col>4</xdr:col>
      <xdr:colOff>863600</xdr:colOff>
      <xdr:row>31</xdr:row>
      <xdr:rowOff>19050</xdr:rowOff>
    </xdr:to>
    <xdr:graphicFrame macro="">
      <xdr:nvGraphicFramePr>
        <xdr:cNvPr id="4" name="Chart 3">
          <a:extLst>
            <a:ext uri="{FF2B5EF4-FFF2-40B4-BE49-F238E27FC236}">
              <a16:creationId xmlns:a16="http://schemas.microsoft.com/office/drawing/2014/main" id="{44D253FA-6506-C223-4241-C66582A11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146050</xdr:colOff>
      <xdr:row>13</xdr:row>
      <xdr:rowOff>0</xdr:rowOff>
    </xdr:from>
    <xdr:to>
      <xdr:col>9</xdr:col>
      <xdr:colOff>552450</xdr:colOff>
      <xdr:row>23</xdr:row>
      <xdr:rowOff>12700</xdr:rowOff>
    </xdr:to>
    <xdr:graphicFrame macro="">
      <xdr:nvGraphicFramePr>
        <xdr:cNvPr id="5" name="Chart 4">
          <a:extLst>
            <a:ext uri="{FF2B5EF4-FFF2-40B4-BE49-F238E27FC236}">
              <a16:creationId xmlns:a16="http://schemas.microsoft.com/office/drawing/2014/main" id="{6B8607BE-9452-A3A8-5D0B-6B2DF511A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111125</xdr:colOff>
      <xdr:row>23</xdr:row>
      <xdr:rowOff>133350</xdr:rowOff>
    </xdr:from>
    <xdr:to>
      <xdr:col>9</xdr:col>
      <xdr:colOff>939800</xdr:colOff>
      <xdr:row>33</xdr:row>
      <xdr:rowOff>19050</xdr:rowOff>
    </xdr:to>
    <xdr:graphicFrame macro="">
      <xdr:nvGraphicFramePr>
        <xdr:cNvPr id="6" name="Chart 5">
          <a:extLst>
            <a:ext uri="{FF2B5EF4-FFF2-40B4-BE49-F238E27FC236}">
              <a16:creationId xmlns:a16="http://schemas.microsoft.com/office/drawing/2014/main" id="{E85940FA-2E0B-1A05-AE2E-EF1DAC995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165100</xdr:colOff>
      <xdr:row>0</xdr:row>
      <xdr:rowOff>38100</xdr:rowOff>
    </xdr:from>
    <xdr:to>
      <xdr:col>9</xdr:col>
      <xdr:colOff>927100</xdr:colOff>
      <xdr:row>7</xdr:row>
      <xdr:rowOff>120650</xdr:rowOff>
    </xdr:to>
    <mc:AlternateContent xmlns:mc="http://schemas.openxmlformats.org/markup-compatibility/2006" xmlns:tsle="http://schemas.microsoft.com/office/drawing/2012/timeslicer">
      <mc:Choice Requires="tsle">
        <xdr:graphicFrame macro="">
          <xdr:nvGraphicFramePr>
            <xdr:cNvPr id="16" name="Purchase Date">
              <a:extLst>
                <a:ext uri="{FF2B5EF4-FFF2-40B4-BE49-F238E27FC236}">
                  <a16:creationId xmlns:a16="http://schemas.microsoft.com/office/drawing/2014/main" id="{D21ABBB8-DD73-4F1D-A2C0-11CEC5DF2528}"/>
                </a:ext>
              </a:extLst>
            </xdr:cNvPr>
            <xdr:cNvGraphicFramePr/>
          </xdr:nvGraphicFramePr>
          <xdr:xfrm>
            <a:off x="0" y="0"/>
            <a:ext cx="0" cy="0"/>
          </xdr:xfrm>
          <a:graphic>
            <a:graphicData uri="http://schemas.microsoft.com/office/drawing/2012/timeslicer">
              <tsle:timeslicer name="Purchase Date"/>
            </a:graphicData>
          </a:graphic>
        </xdr:graphicFrame>
      </mc:Choice>
      <mc:Fallback xmlns="">
        <xdr:sp macro="" textlink="">
          <xdr:nvSpPr>
            <xdr:cNvPr id="0" name=""/>
            <xdr:cNvSpPr>
              <a:spLocks noTextEdit="1"/>
            </xdr:cNvSpPr>
          </xdr:nvSpPr>
          <xdr:spPr>
            <a:xfrm>
              <a:off x="7918450" y="38100"/>
              <a:ext cx="2628900" cy="137160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editAs="oneCell">
    <xdr:from>
      <xdr:col>1</xdr:col>
      <xdr:colOff>63500</xdr:colOff>
      <xdr:row>14</xdr:row>
      <xdr:rowOff>0</xdr:rowOff>
    </xdr:from>
    <xdr:to>
      <xdr:col>1</xdr:col>
      <xdr:colOff>1371600</xdr:colOff>
      <xdr:row>22</xdr:row>
      <xdr:rowOff>171450</xdr:rowOff>
    </xdr:to>
    <mc:AlternateContent xmlns:mc="http://schemas.openxmlformats.org/markup-compatibility/2006" xmlns:a14="http://schemas.microsoft.com/office/drawing/2010/main">
      <mc:Choice Requires="a14">
        <xdr:graphicFrame macro="">
          <xdr:nvGraphicFramePr>
            <xdr:cNvPr id="17" name="Product Category">
              <a:extLst>
                <a:ext uri="{FF2B5EF4-FFF2-40B4-BE49-F238E27FC236}">
                  <a16:creationId xmlns:a16="http://schemas.microsoft.com/office/drawing/2014/main" id="{C7169A18-0834-478B-A722-9049EC46939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93800" y="2578100"/>
              <a:ext cx="1308100" cy="16446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101600</xdr:colOff>
      <xdr:row>23</xdr:row>
      <xdr:rowOff>63500</xdr:rowOff>
    </xdr:from>
    <xdr:to>
      <xdr:col>1</xdr:col>
      <xdr:colOff>1206500</xdr:colOff>
      <xdr:row>30</xdr:row>
      <xdr:rowOff>82549</xdr:rowOff>
    </xdr:to>
    <mc:AlternateContent xmlns:mc="http://schemas.openxmlformats.org/markup-compatibility/2006" xmlns:a14="http://schemas.microsoft.com/office/drawing/2010/main">
      <mc:Choice Requires="a14">
        <xdr:graphicFrame macro="">
          <xdr:nvGraphicFramePr>
            <xdr:cNvPr id="18" name="Purchase Method">
              <a:extLst>
                <a:ext uri="{FF2B5EF4-FFF2-40B4-BE49-F238E27FC236}">
                  <a16:creationId xmlns:a16="http://schemas.microsoft.com/office/drawing/2014/main" id="{13ABA6E2-80F8-453A-A783-E57932A7E88E}"/>
                </a:ext>
              </a:extLst>
            </xdr:cNvPr>
            <xdr:cNvGraphicFramePr/>
          </xdr:nvGraphicFramePr>
          <xdr:xfrm>
            <a:off x="0" y="0"/>
            <a:ext cx="0" cy="0"/>
          </xdr:xfrm>
          <a:graphic>
            <a:graphicData uri="http://schemas.microsoft.com/office/drawing/2010/slicer">
              <sle:slicer xmlns:sle="http://schemas.microsoft.com/office/drawing/2010/slicer" name="Purchase Method"/>
            </a:graphicData>
          </a:graphic>
        </xdr:graphicFrame>
      </mc:Choice>
      <mc:Fallback xmlns="">
        <xdr:sp macro="" textlink="">
          <xdr:nvSpPr>
            <xdr:cNvPr id="0" name=""/>
            <xdr:cNvSpPr>
              <a:spLocks noTextEdit="1"/>
            </xdr:cNvSpPr>
          </xdr:nvSpPr>
          <xdr:spPr>
            <a:xfrm>
              <a:off x="1231900" y="4298950"/>
              <a:ext cx="1104900" cy="130809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31</xdr:row>
      <xdr:rowOff>0</xdr:rowOff>
    </xdr:from>
    <xdr:to>
      <xdr:col>1</xdr:col>
      <xdr:colOff>1219200</xdr:colOff>
      <xdr:row>40</xdr:row>
      <xdr:rowOff>184149</xdr:rowOff>
    </xdr:to>
    <mc:AlternateContent xmlns:mc="http://schemas.openxmlformats.org/markup-compatibility/2006" xmlns:a14="http://schemas.microsoft.com/office/drawing/2010/main">
      <mc:Choice Requires="a14">
        <xdr:graphicFrame macro="">
          <xdr:nvGraphicFramePr>
            <xdr:cNvPr id="19" name="Location">
              <a:extLst>
                <a:ext uri="{FF2B5EF4-FFF2-40B4-BE49-F238E27FC236}">
                  <a16:creationId xmlns:a16="http://schemas.microsoft.com/office/drawing/2014/main" id="{3D7B2F9F-4DC8-4346-A9DB-7EC9298D15F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30300" y="5708650"/>
              <a:ext cx="1219200" cy="184149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19</xdr:row>
      <xdr:rowOff>1</xdr:rowOff>
    </xdr:from>
    <xdr:to>
      <xdr:col>4</xdr:col>
      <xdr:colOff>1206500</xdr:colOff>
      <xdr:row>21</xdr:row>
      <xdr:rowOff>95251</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75CA5BED-57C3-4B26-8E8F-0B5CD326F1D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65450" y="3498851"/>
              <a:ext cx="2070100" cy="4635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107950</xdr:colOff>
      <xdr:row>0</xdr:row>
      <xdr:rowOff>69850</xdr:rowOff>
    </xdr:from>
    <xdr:to>
      <xdr:col>19</xdr:col>
      <xdr:colOff>323850</xdr:colOff>
      <xdr:row>3</xdr:row>
      <xdr:rowOff>114300</xdr:rowOff>
    </xdr:to>
    <xdr:sp macro="" textlink="">
      <xdr:nvSpPr>
        <xdr:cNvPr id="2" name="Rectangle: Rounded Corners 1">
          <a:extLst>
            <a:ext uri="{FF2B5EF4-FFF2-40B4-BE49-F238E27FC236}">
              <a16:creationId xmlns:a16="http://schemas.microsoft.com/office/drawing/2014/main" id="{2100F7C5-29CE-654F-DBF0-5AFEFEB490E1}"/>
            </a:ext>
          </a:extLst>
        </xdr:cNvPr>
        <xdr:cNvSpPr/>
      </xdr:nvSpPr>
      <xdr:spPr>
        <a:xfrm>
          <a:off x="107950" y="69850"/>
          <a:ext cx="11798300" cy="596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Sales Performance Dashboard</a:t>
          </a:r>
          <a:endParaRPr lang="en-AE" sz="2800" b="1"/>
        </a:p>
      </xdr:txBody>
    </xdr:sp>
    <xdr:clientData/>
  </xdr:twoCellAnchor>
  <xdr:twoCellAnchor editAs="oneCell">
    <xdr:from>
      <xdr:col>0</xdr:col>
      <xdr:colOff>109071</xdr:colOff>
      <xdr:row>7</xdr:row>
      <xdr:rowOff>95250</xdr:rowOff>
    </xdr:from>
    <xdr:to>
      <xdr:col>3</xdr:col>
      <xdr:colOff>0</xdr:colOff>
      <xdr:row>15</xdr:row>
      <xdr:rowOff>101600</xdr:rowOff>
    </xdr:to>
    <mc:AlternateContent xmlns:mc="http://schemas.openxmlformats.org/markup-compatibility/2006" xmlns:a14="http://schemas.microsoft.com/office/drawing/2010/main">
      <mc:Choice Requires="a14">
        <xdr:graphicFrame macro="">
          <xdr:nvGraphicFramePr>
            <xdr:cNvPr id="3" name="Purchase Method 2">
              <a:extLst>
                <a:ext uri="{FF2B5EF4-FFF2-40B4-BE49-F238E27FC236}">
                  <a16:creationId xmlns:a16="http://schemas.microsoft.com/office/drawing/2014/main" id="{1BA07BF5-4AA4-4250-A36D-0B996F2D7B6D}"/>
                </a:ext>
              </a:extLst>
            </xdr:cNvPr>
            <xdr:cNvGraphicFramePr/>
          </xdr:nvGraphicFramePr>
          <xdr:xfrm>
            <a:off x="0" y="0"/>
            <a:ext cx="0" cy="0"/>
          </xdr:xfrm>
          <a:graphic>
            <a:graphicData uri="http://schemas.microsoft.com/office/drawing/2010/slicer">
              <sle:slicer xmlns:sle="http://schemas.microsoft.com/office/drawing/2010/slicer" name="Purchase Method 2"/>
            </a:graphicData>
          </a:graphic>
        </xdr:graphicFrame>
      </mc:Choice>
      <mc:Fallback xmlns="">
        <xdr:sp macro="" textlink="">
          <xdr:nvSpPr>
            <xdr:cNvPr id="0" name=""/>
            <xdr:cNvSpPr>
              <a:spLocks noTextEdit="1"/>
            </xdr:cNvSpPr>
          </xdr:nvSpPr>
          <xdr:spPr>
            <a:xfrm>
              <a:off x="109071" y="1384300"/>
              <a:ext cx="1719729" cy="14795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15</xdr:row>
      <xdr:rowOff>133350</xdr:rowOff>
    </xdr:from>
    <xdr:to>
      <xdr:col>2</xdr:col>
      <xdr:colOff>609599</xdr:colOff>
      <xdr:row>23</xdr:row>
      <xdr:rowOff>127000</xdr:rowOff>
    </xdr:to>
    <mc:AlternateContent xmlns:mc="http://schemas.openxmlformats.org/markup-compatibility/2006" xmlns:a14="http://schemas.microsoft.com/office/drawing/2010/main">
      <mc:Choice Requires="a14">
        <xdr:graphicFrame macro="">
          <xdr:nvGraphicFramePr>
            <xdr:cNvPr id="4" name="Location 2">
              <a:extLst>
                <a:ext uri="{FF2B5EF4-FFF2-40B4-BE49-F238E27FC236}">
                  <a16:creationId xmlns:a16="http://schemas.microsoft.com/office/drawing/2014/main" id="{BC4FDB95-E946-4CFD-94FB-BA74926F06F4}"/>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95250" y="2895600"/>
              <a:ext cx="1733549" cy="14668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24</xdr:row>
      <xdr:rowOff>6350</xdr:rowOff>
    </xdr:from>
    <xdr:to>
      <xdr:col>3</xdr:col>
      <xdr:colOff>6350</xdr:colOff>
      <xdr:row>31</xdr:row>
      <xdr:rowOff>6349</xdr:rowOff>
    </xdr:to>
    <mc:AlternateContent xmlns:mc="http://schemas.openxmlformats.org/markup-compatibility/2006" xmlns:a14="http://schemas.microsoft.com/office/drawing/2010/main">
      <mc:Choice Requires="a14">
        <xdr:graphicFrame macro="">
          <xdr:nvGraphicFramePr>
            <xdr:cNvPr id="5" name="Product Category 2">
              <a:extLst>
                <a:ext uri="{FF2B5EF4-FFF2-40B4-BE49-F238E27FC236}">
                  <a16:creationId xmlns:a16="http://schemas.microsoft.com/office/drawing/2014/main" id="{519376CF-EB8C-4D9F-B135-861399F96C96}"/>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88900" y="4425950"/>
              <a:ext cx="1746250" cy="12890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3</xdr:row>
      <xdr:rowOff>177800</xdr:rowOff>
    </xdr:from>
    <xdr:to>
      <xdr:col>14</xdr:col>
      <xdr:colOff>171449</xdr:colOff>
      <xdr:row>7</xdr:row>
      <xdr:rowOff>50800</xdr:rowOff>
    </xdr:to>
    <mc:AlternateContent xmlns:mc="http://schemas.openxmlformats.org/markup-compatibility/2006" xmlns:a14="http://schemas.microsoft.com/office/drawing/2010/main">
      <mc:Choice Requires="a14">
        <xdr:graphicFrame macro="">
          <xdr:nvGraphicFramePr>
            <xdr:cNvPr id="6" name="Gender 2">
              <a:extLst>
                <a:ext uri="{FF2B5EF4-FFF2-40B4-BE49-F238E27FC236}">
                  <a16:creationId xmlns:a16="http://schemas.microsoft.com/office/drawing/2014/main" id="{210DB736-1F4E-4682-AA1B-A7E5BBB89A1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429250" y="730250"/>
              <a:ext cx="3276599" cy="6096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251384</xdr:colOff>
      <xdr:row>11</xdr:row>
      <xdr:rowOff>172570</xdr:rowOff>
    </xdr:from>
    <xdr:to>
      <xdr:col>19</xdr:col>
      <xdr:colOff>330200</xdr:colOff>
      <xdr:row>30</xdr:row>
      <xdr:rowOff>152400</xdr:rowOff>
    </xdr:to>
    <xdr:graphicFrame macro="">
      <xdr:nvGraphicFramePr>
        <xdr:cNvPr id="7" name="Chart 6">
          <a:extLst>
            <a:ext uri="{FF2B5EF4-FFF2-40B4-BE49-F238E27FC236}">
              <a16:creationId xmlns:a16="http://schemas.microsoft.com/office/drawing/2014/main" id="{B3F8243B-32BA-4E3A-872A-323FB7F44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69850</xdr:colOff>
      <xdr:row>7</xdr:row>
      <xdr:rowOff>95251</xdr:rowOff>
    </xdr:from>
    <xdr:to>
      <xdr:col>8</xdr:col>
      <xdr:colOff>536761</xdr:colOff>
      <xdr:row>19</xdr:row>
      <xdr:rowOff>50801</xdr:rowOff>
    </xdr:to>
    <xdr:graphicFrame macro="">
      <xdr:nvGraphicFramePr>
        <xdr:cNvPr id="8" name="Chart 7">
          <a:extLst>
            <a:ext uri="{FF2B5EF4-FFF2-40B4-BE49-F238E27FC236}">
              <a16:creationId xmlns:a16="http://schemas.microsoft.com/office/drawing/2014/main" id="{6CAD99BD-7CA1-486A-B4C4-44140F0A0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63095</xdr:colOff>
      <xdr:row>19</xdr:row>
      <xdr:rowOff>88900</xdr:rowOff>
    </xdr:from>
    <xdr:to>
      <xdr:col>8</xdr:col>
      <xdr:colOff>552450</xdr:colOff>
      <xdr:row>30</xdr:row>
      <xdr:rowOff>177800</xdr:rowOff>
    </xdr:to>
    <xdr:graphicFrame macro="">
      <xdr:nvGraphicFramePr>
        <xdr:cNvPr id="9" name="Chart 8">
          <a:extLst>
            <a:ext uri="{FF2B5EF4-FFF2-40B4-BE49-F238E27FC236}">
              <a16:creationId xmlns:a16="http://schemas.microsoft.com/office/drawing/2014/main" id="{B81098A9-A174-4346-86E6-F54F30873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584201</xdr:colOff>
      <xdr:row>19</xdr:row>
      <xdr:rowOff>82550</xdr:rowOff>
    </xdr:from>
    <xdr:to>
      <xdr:col>14</xdr:col>
      <xdr:colOff>184151</xdr:colOff>
      <xdr:row>30</xdr:row>
      <xdr:rowOff>177800</xdr:rowOff>
    </xdr:to>
    <xdr:graphicFrame macro="">
      <xdr:nvGraphicFramePr>
        <xdr:cNvPr id="10" name="Chart 9">
          <a:extLst>
            <a:ext uri="{FF2B5EF4-FFF2-40B4-BE49-F238E27FC236}">
              <a16:creationId xmlns:a16="http://schemas.microsoft.com/office/drawing/2014/main" id="{7830BEF9-6B20-46F2-A90E-39E7161D6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234950</xdr:colOff>
      <xdr:row>4</xdr:row>
      <xdr:rowOff>0</xdr:rowOff>
    </xdr:from>
    <xdr:to>
      <xdr:col>19</xdr:col>
      <xdr:colOff>342900</xdr:colOff>
      <xdr:row>11</xdr:row>
      <xdr:rowOff>121021</xdr:rowOff>
    </xdr:to>
    <mc:AlternateContent xmlns:mc="http://schemas.openxmlformats.org/markup-compatibility/2006" xmlns:tsle="http://schemas.microsoft.com/office/drawing/2012/timeslicer">
      <mc:Choice Requires="tsle">
        <xdr:graphicFrame macro="">
          <xdr:nvGraphicFramePr>
            <xdr:cNvPr id="11" name="Purchase Date 2">
              <a:extLst>
                <a:ext uri="{FF2B5EF4-FFF2-40B4-BE49-F238E27FC236}">
                  <a16:creationId xmlns:a16="http://schemas.microsoft.com/office/drawing/2014/main" id="{7ED9E3BF-5DD1-490E-ADF1-4AEBB3F5BEF8}"/>
                </a:ext>
              </a:extLst>
            </xdr:cNvPr>
            <xdr:cNvGraphicFramePr/>
          </xdr:nvGraphicFramePr>
          <xdr:xfrm>
            <a:off x="0" y="0"/>
            <a:ext cx="0" cy="0"/>
          </xdr:xfrm>
          <a:graphic>
            <a:graphicData uri="http://schemas.microsoft.com/office/drawing/2012/timeslicer">
              <tsle:timeslicer name="Purchase Date 2"/>
            </a:graphicData>
          </a:graphic>
        </xdr:graphicFrame>
      </mc:Choice>
      <mc:Fallback xmlns="">
        <xdr:sp macro="" textlink="">
          <xdr:nvSpPr>
            <xdr:cNvPr id="0" name=""/>
            <xdr:cNvSpPr>
              <a:spLocks noTextEdit="1"/>
            </xdr:cNvSpPr>
          </xdr:nvSpPr>
          <xdr:spPr>
            <a:xfrm>
              <a:off x="8769350" y="736600"/>
              <a:ext cx="3155950" cy="1410071"/>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xdr:from>
      <xdr:col>8</xdr:col>
      <xdr:colOff>571500</xdr:colOff>
      <xdr:row>7</xdr:row>
      <xdr:rowOff>95250</xdr:rowOff>
    </xdr:from>
    <xdr:to>
      <xdr:col>14</xdr:col>
      <xdr:colOff>184150</xdr:colOff>
      <xdr:row>19</xdr:row>
      <xdr:rowOff>31750</xdr:rowOff>
    </xdr:to>
    <xdr:graphicFrame macro="">
      <xdr:nvGraphicFramePr>
        <xdr:cNvPr id="12" name="Chart 11">
          <a:extLst>
            <a:ext uri="{FF2B5EF4-FFF2-40B4-BE49-F238E27FC236}">
              <a16:creationId xmlns:a16="http://schemas.microsoft.com/office/drawing/2014/main" id="{F03490A7-3640-4475-A9A6-CDAAAD26D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158750</xdr:colOff>
      <xdr:row>3</xdr:row>
      <xdr:rowOff>171450</xdr:rowOff>
    </xdr:from>
    <xdr:to>
      <xdr:col>3</xdr:col>
      <xdr:colOff>12700</xdr:colOff>
      <xdr:row>7</xdr:row>
      <xdr:rowOff>6350</xdr:rowOff>
    </xdr:to>
    <xdr:sp macro="" textlink="Pivot!M4">
      <xdr:nvSpPr>
        <xdr:cNvPr id="13" name="Rectangle: Rounded Corners 12">
          <a:extLst>
            <a:ext uri="{FF2B5EF4-FFF2-40B4-BE49-F238E27FC236}">
              <a16:creationId xmlns:a16="http://schemas.microsoft.com/office/drawing/2014/main" id="{9669F04A-09FE-583E-A12A-FB15F864F001}"/>
            </a:ext>
          </a:extLst>
        </xdr:cNvPr>
        <xdr:cNvSpPr/>
      </xdr:nvSpPr>
      <xdr:spPr>
        <a:xfrm>
          <a:off x="158750" y="723900"/>
          <a:ext cx="1682750"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1D7309F-F85E-4319-996B-27606F11878C}" type="TxLink">
            <a:rPr lang="en-US" sz="1400" b="1" i="0" u="none" strike="noStrike">
              <a:solidFill>
                <a:schemeClr val="bg1"/>
              </a:solidFill>
              <a:latin typeface="Calibri"/>
              <a:ea typeface="Calibri"/>
              <a:cs typeface="Calibri"/>
            </a:rPr>
            <a:pPr algn="ctr"/>
            <a:t>1475930.96</a:t>
          </a:fld>
          <a:endParaRPr lang="en-AE" sz="1400" b="1">
            <a:solidFill>
              <a:schemeClr val="bg1"/>
            </a:solidFill>
          </a:endParaRPr>
        </a:p>
      </xdr:txBody>
    </xdr:sp>
    <xdr:clientData/>
  </xdr:twoCellAnchor>
  <xdr:twoCellAnchor>
    <xdr:from>
      <xdr:col>3</xdr:col>
      <xdr:colOff>50800</xdr:colOff>
      <xdr:row>3</xdr:row>
      <xdr:rowOff>171450</xdr:rowOff>
    </xdr:from>
    <xdr:to>
      <xdr:col>5</xdr:col>
      <xdr:colOff>514350</xdr:colOff>
      <xdr:row>7</xdr:row>
      <xdr:rowOff>6350</xdr:rowOff>
    </xdr:to>
    <xdr:sp macro="" textlink="Pivot!M6">
      <xdr:nvSpPr>
        <xdr:cNvPr id="16" name="Rectangle: Rounded Corners 15">
          <a:extLst>
            <a:ext uri="{FF2B5EF4-FFF2-40B4-BE49-F238E27FC236}">
              <a16:creationId xmlns:a16="http://schemas.microsoft.com/office/drawing/2014/main" id="{5ED51F52-6770-A6DF-184B-389731709A46}"/>
            </a:ext>
          </a:extLst>
        </xdr:cNvPr>
        <xdr:cNvSpPr/>
      </xdr:nvSpPr>
      <xdr:spPr>
        <a:xfrm>
          <a:off x="1879600" y="723900"/>
          <a:ext cx="1682750"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C3EAEF1-4F43-4B31-8D65-499C864592A8}" type="TxLink">
            <a:rPr lang="en-US" sz="1400" b="1" i="0" u="none" strike="noStrike">
              <a:solidFill>
                <a:schemeClr val="bg1"/>
              </a:solidFill>
              <a:latin typeface="Calibri"/>
              <a:ea typeface="Calibri"/>
              <a:cs typeface="Calibri"/>
            </a:rPr>
            <a:pPr algn="ctr"/>
            <a:t>2951.86</a:t>
          </a:fld>
          <a:endParaRPr lang="en-AE" sz="1400" b="1">
            <a:solidFill>
              <a:schemeClr val="bg1"/>
            </a:solidFill>
          </a:endParaRPr>
        </a:p>
      </xdr:txBody>
    </xdr:sp>
    <xdr:clientData/>
  </xdr:twoCellAnchor>
  <xdr:twoCellAnchor>
    <xdr:from>
      <xdr:col>5</xdr:col>
      <xdr:colOff>565150</xdr:colOff>
      <xdr:row>3</xdr:row>
      <xdr:rowOff>171450</xdr:rowOff>
    </xdr:from>
    <xdr:to>
      <xdr:col>8</xdr:col>
      <xdr:colOff>419100</xdr:colOff>
      <xdr:row>7</xdr:row>
      <xdr:rowOff>6350</xdr:rowOff>
    </xdr:to>
    <xdr:sp macro="" textlink="Pivot!M9">
      <xdr:nvSpPr>
        <xdr:cNvPr id="17" name="Rectangle: Rounded Corners 16">
          <a:extLst>
            <a:ext uri="{FF2B5EF4-FFF2-40B4-BE49-F238E27FC236}">
              <a16:creationId xmlns:a16="http://schemas.microsoft.com/office/drawing/2014/main" id="{6C93CFB1-571D-A565-8697-E0B1F68A6320}"/>
            </a:ext>
          </a:extLst>
        </xdr:cNvPr>
        <xdr:cNvSpPr/>
      </xdr:nvSpPr>
      <xdr:spPr>
        <a:xfrm>
          <a:off x="3613150" y="723900"/>
          <a:ext cx="1682750"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CC56580-D397-435B-A449-4CD38E3E2262}" type="TxLink">
            <a:rPr lang="en-US" sz="1400" b="1" i="0" u="none" strike="noStrike">
              <a:solidFill>
                <a:schemeClr val="bg1"/>
              </a:solidFill>
              <a:latin typeface="Calibri"/>
              <a:ea typeface="Calibri"/>
              <a:cs typeface="Calibri"/>
            </a:rPr>
            <a:pPr algn="ctr"/>
            <a:t>500</a:t>
          </a:fld>
          <a:endParaRPr lang="en-AE" sz="1400" b="1">
            <a:solidFill>
              <a:schemeClr val="bg1"/>
            </a:solidFill>
          </a:endParaRPr>
        </a:p>
      </xdr:txBody>
    </xdr:sp>
    <xdr:clientData/>
  </xdr:twoCellAnchor>
  <xdr:twoCellAnchor>
    <xdr:from>
      <xdr:col>0</xdr:col>
      <xdr:colOff>247650</xdr:colOff>
      <xdr:row>4</xdr:row>
      <xdr:rowOff>38100</xdr:rowOff>
    </xdr:from>
    <xdr:to>
      <xdr:col>2</xdr:col>
      <xdr:colOff>533400</xdr:colOff>
      <xdr:row>5</xdr:row>
      <xdr:rowOff>57150</xdr:rowOff>
    </xdr:to>
    <xdr:sp macro="" textlink="">
      <xdr:nvSpPr>
        <xdr:cNvPr id="23" name="TextBox 22">
          <a:extLst>
            <a:ext uri="{FF2B5EF4-FFF2-40B4-BE49-F238E27FC236}">
              <a16:creationId xmlns:a16="http://schemas.microsoft.com/office/drawing/2014/main" id="{98B3433E-ACE4-BB7F-AA76-44DCA6BBE589}"/>
            </a:ext>
          </a:extLst>
        </xdr:cNvPr>
        <xdr:cNvSpPr txBox="1"/>
      </xdr:nvSpPr>
      <xdr:spPr>
        <a:xfrm>
          <a:off x="247650" y="774700"/>
          <a:ext cx="1504950" cy="2032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rPr>
            <a:t>Total Revenue</a:t>
          </a:r>
          <a:endParaRPr lang="en-AE" sz="1200" b="1">
            <a:solidFill>
              <a:schemeClr val="bg1"/>
            </a:solidFill>
          </a:endParaRPr>
        </a:p>
      </xdr:txBody>
    </xdr:sp>
    <xdr:clientData/>
  </xdr:twoCellAnchor>
  <xdr:twoCellAnchor>
    <xdr:from>
      <xdr:col>3</xdr:col>
      <xdr:colOff>31750</xdr:colOff>
      <xdr:row>4</xdr:row>
      <xdr:rowOff>63500</xdr:rowOff>
    </xdr:from>
    <xdr:to>
      <xdr:col>5</xdr:col>
      <xdr:colOff>317500</xdr:colOff>
      <xdr:row>5</xdr:row>
      <xdr:rowOff>82550</xdr:rowOff>
    </xdr:to>
    <xdr:sp macro="" textlink="">
      <xdr:nvSpPr>
        <xdr:cNvPr id="24" name="TextBox 23">
          <a:extLst>
            <a:ext uri="{FF2B5EF4-FFF2-40B4-BE49-F238E27FC236}">
              <a16:creationId xmlns:a16="http://schemas.microsoft.com/office/drawing/2014/main" id="{8CE7D5E7-C21B-49E2-9D5E-538695B18EC6}"/>
            </a:ext>
          </a:extLst>
        </xdr:cNvPr>
        <xdr:cNvSpPr txBox="1"/>
      </xdr:nvSpPr>
      <xdr:spPr>
        <a:xfrm>
          <a:off x="1860550" y="800100"/>
          <a:ext cx="1504950" cy="2032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bg1"/>
              </a:solidFill>
            </a:rPr>
            <a:t>Average Order Value</a:t>
          </a:r>
          <a:endParaRPr lang="en-AE" sz="1200" b="1">
            <a:solidFill>
              <a:schemeClr val="bg1"/>
            </a:solidFill>
          </a:endParaRPr>
        </a:p>
      </xdr:txBody>
    </xdr:sp>
    <xdr:clientData/>
  </xdr:twoCellAnchor>
  <xdr:twoCellAnchor>
    <xdr:from>
      <xdr:col>6</xdr:col>
      <xdr:colOff>44450</xdr:colOff>
      <xdr:row>4</xdr:row>
      <xdr:rowOff>50800</xdr:rowOff>
    </xdr:from>
    <xdr:to>
      <xdr:col>8</xdr:col>
      <xdr:colOff>330200</xdr:colOff>
      <xdr:row>5</xdr:row>
      <xdr:rowOff>69850</xdr:rowOff>
    </xdr:to>
    <xdr:sp macro="" textlink="">
      <xdr:nvSpPr>
        <xdr:cNvPr id="25" name="TextBox 24">
          <a:extLst>
            <a:ext uri="{FF2B5EF4-FFF2-40B4-BE49-F238E27FC236}">
              <a16:creationId xmlns:a16="http://schemas.microsoft.com/office/drawing/2014/main" id="{B5633C71-707C-4634-A301-25D5DD5A98D6}"/>
            </a:ext>
          </a:extLst>
        </xdr:cNvPr>
        <xdr:cNvSpPr txBox="1"/>
      </xdr:nvSpPr>
      <xdr:spPr>
        <a:xfrm>
          <a:off x="3702050" y="787400"/>
          <a:ext cx="1504950" cy="2032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bg1"/>
              </a:solidFill>
            </a:rPr>
            <a:t>Total Orders</a:t>
          </a:r>
          <a:endParaRPr lang="en-AE" sz="1200" b="1">
            <a:solidFill>
              <a:schemeClr val="bg1"/>
            </a:solidFill>
          </a:endParaRPr>
        </a:p>
      </xdr:txBody>
    </xdr:sp>
    <xdr:clientData/>
  </xdr:twoCellAnchor>
  <xdr:twoCellAnchor editAs="oneCell">
    <xdr:from>
      <xdr:col>5</xdr:col>
      <xdr:colOff>196850</xdr:colOff>
      <xdr:row>0</xdr:row>
      <xdr:rowOff>152400</xdr:rowOff>
    </xdr:from>
    <xdr:to>
      <xdr:col>6</xdr:col>
      <xdr:colOff>6350</xdr:colOff>
      <xdr:row>3</xdr:row>
      <xdr:rowOff>19050</xdr:rowOff>
    </xdr:to>
    <xdr:pic>
      <xdr:nvPicPr>
        <xdr:cNvPr id="29" name="Graphic 28" descr="Aspiration with solid fill">
          <a:extLst>
            <a:ext uri="{FF2B5EF4-FFF2-40B4-BE49-F238E27FC236}">
              <a16:creationId xmlns:a16="http://schemas.microsoft.com/office/drawing/2014/main" id="{CE9C36DC-FD8C-495A-8144-68C30BD16DF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44850" y="152400"/>
          <a:ext cx="419100" cy="419100"/>
        </a:xfrm>
        <a:prstGeom prst="rect">
          <a:avLst/>
        </a:prstGeom>
      </xdr:spPr>
    </xdr:pic>
    <xdr:clientData/>
  </xdr:twoCellAnchor>
  <xdr:twoCellAnchor editAs="oneCell">
    <xdr:from>
      <xdr:col>5</xdr:col>
      <xdr:colOff>264742</xdr:colOff>
      <xdr:row>3</xdr:row>
      <xdr:rowOff>177801</xdr:rowOff>
    </xdr:from>
    <xdr:to>
      <xdr:col>5</xdr:col>
      <xdr:colOff>484999</xdr:colOff>
      <xdr:row>5</xdr:row>
      <xdr:rowOff>19051</xdr:rowOff>
    </xdr:to>
    <xdr:pic>
      <xdr:nvPicPr>
        <xdr:cNvPr id="37" name="Graphic 36" descr="Money with solid fill">
          <a:extLst>
            <a:ext uri="{FF2B5EF4-FFF2-40B4-BE49-F238E27FC236}">
              <a16:creationId xmlns:a16="http://schemas.microsoft.com/office/drawing/2014/main" id="{84485B7C-14C9-4BE7-81FA-393347837EF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312742" y="730251"/>
          <a:ext cx="220257" cy="209550"/>
        </a:xfrm>
        <a:prstGeom prst="rect">
          <a:avLst/>
        </a:prstGeom>
      </xdr:spPr>
    </xdr:pic>
    <xdr:clientData/>
  </xdr:twoCellAnchor>
  <xdr:twoCellAnchor editAs="oneCell">
    <xdr:from>
      <xdr:col>8</xdr:col>
      <xdr:colOff>139700</xdr:colOff>
      <xdr:row>4</xdr:row>
      <xdr:rowOff>0</xdr:rowOff>
    </xdr:from>
    <xdr:to>
      <xdr:col>8</xdr:col>
      <xdr:colOff>361950</xdr:colOff>
      <xdr:row>5</xdr:row>
      <xdr:rowOff>27296</xdr:rowOff>
    </xdr:to>
    <xdr:pic>
      <xdr:nvPicPr>
        <xdr:cNvPr id="38" name="Graphic 37" descr="Coins with solid fill">
          <a:extLst>
            <a:ext uri="{FF2B5EF4-FFF2-40B4-BE49-F238E27FC236}">
              <a16:creationId xmlns:a16="http://schemas.microsoft.com/office/drawing/2014/main" id="{C13BDDF6-AE50-4CB5-B509-1E118D261FB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016500" y="736600"/>
          <a:ext cx="222250" cy="211446"/>
        </a:xfrm>
        <a:prstGeom prst="rect">
          <a:avLst/>
        </a:prstGeom>
      </xdr:spPr>
    </xdr:pic>
    <xdr:clientData/>
  </xdr:twoCellAnchor>
  <xdr:twoCellAnchor editAs="oneCell">
    <xdr:from>
      <xdr:col>2</xdr:col>
      <xdr:colOff>401791</xdr:colOff>
      <xdr:row>4</xdr:row>
      <xdr:rowOff>31750</xdr:rowOff>
    </xdr:from>
    <xdr:to>
      <xdr:col>2</xdr:col>
      <xdr:colOff>595349</xdr:colOff>
      <xdr:row>5</xdr:row>
      <xdr:rowOff>31750</xdr:rowOff>
    </xdr:to>
    <xdr:pic>
      <xdr:nvPicPr>
        <xdr:cNvPr id="39" name="Graphic 38" descr="Rupee with solid fill">
          <a:extLst>
            <a:ext uri="{FF2B5EF4-FFF2-40B4-BE49-F238E27FC236}">
              <a16:creationId xmlns:a16="http://schemas.microsoft.com/office/drawing/2014/main" id="{51A1CCC0-5C42-4C3D-85D5-4D5BB3D4F31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620991" y="768350"/>
          <a:ext cx="193558" cy="1841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thvina" refreshedDate="46030.649308449072" createdVersion="7" refreshedVersion="7" minRefreshableVersion="3" recordCount="500" xr:uid="{EFD88D1E-F52E-40F9-8BA9-072581A022FE}">
  <cacheSource type="worksheet">
    <worksheetSource name="Table1"/>
  </cacheSource>
  <cacheFields count="15">
    <cacheField name="CID" numFmtId="0">
      <sharedItems containsSemiMixedTypes="0" containsString="0" containsNumber="1" containsInteger="1" minValue="101206" maxValue="999695"/>
    </cacheField>
    <cacheField name="TID" numFmtId="0">
      <sharedItems containsSemiMixedTypes="0" containsString="0" containsNumber="1" containsInteger="1" minValue="1003927406" maxValue="9968937503"/>
    </cacheField>
    <cacheField name="Gender" numFmtId="0">
      <sharedItems count="3">
        <s v="Female"/>
        <s v="Male"/>
        <s v="Other"/>
      </sharedItems>
    </cacheField>
    <cacheField name="Age Group" numFmtId="0">
      <sharedItems/>
    </cacheField>
    <cacheField name="Purchase Date" numFmtId="14">
      <sharedItems containsSemiMixedTypes="0" containsNonDate="0" containsDate="1" containsString="0" minDate="2019-02-10T00:00:00" maxDate="2024-12-10T00:00:00" count="433">
        <d v="2023-08-30T00:00:00"/>
        <d v="2024-02-23T00:00:00"/>
        <d v="2022-06-03T00:00:00"/>
        <d v="2020-04-11T00:00:00"/>
        <d v="2022-05-31T00:00:00"/>
        <d v="2021-12-07T00:00:00"/>
        <d v="2023-08-10T00:00:00"/>
        <d v="2022-12-14T00:00:00"/>
        <d v="2020-04-29T00:00:00"/>
        <d v="2023-12-18T00:00:00"/>
        <d v="2022-09-12T00:00:00"/>
        <d v="2021-02-11T00:00:00"/>
        <d v="2020-09-23T00:00:00"/>
        <d v="2020-02-15T00:00:00"/>
        <d v="2021-09-26T00:00:00"/>
        <d v="2022-07-15T00:00:00"/>
        <d v="2023-05-27T00:00:00"/>
        <d v="2020-12-04T00:00:00"/>
        <d v="2021-02-20T00:00:00"/>
        <d v="2021-03-17T00:00:00"/>
        <d v="2020-11-24T00:00:00"/>
        <d v="2022-02-14T00:00:00"/>
        <d v="2023-07-09T00:00:00"/>
        <d v="2024-02-22T00:00:00"/>
        <d v="2023-04-05T00:00:00"/>
        <d v="2022-09-11T00:00:00"/>
        <d v="2023-07-22T00:00:00"/>
        <d v="2022-10-29T00:00:00"/>
        <d v="2020-12-14T00:00:00"/>
        <d v="2020-06-13T00:00:00"/>
        <d v="2023-12-01T00:00:00"/>
        <d v="2022-10-17T00:00:00"/>
        <d v="2019-08-12T00:00:00"/>
        <d v="2019-10-14T00:00:00"/>
        <d v="2020-01-30T00:00:00"/>
        <d v="2022-01-19T00:00:00"/>
        <d v="2022-07-12T00:00:00"/>
        <d v="2020-01-23T00:00:00"/>
        <d v="2020-03-08T00:00:00"/>
        <d v="2019-09-30T00:00:00"/>
        <d v="2024-04-27T00:00:00"/>
        <d v="2022-11-01T00:00:00"/>
        <d v="2020-11-13T00:00:00"/>
        <d v="2019-10-13T00:00:00"/>
        <d v="2021-02-23T00:00:00"/>
        <d v="2020-01-10T00:00:00"/>
        <d v="2021-01-09T00:00:00"/>
        <d v="2021-03-16T00:00:00"/>
        <d v="2022-02-17T00:00:00"/>
        <d v="2022-01-29T00:00:00"/>
        <d v="2021-01-14T00:00:00"/>
        <d v="2022-05-10T00:00:00"/>
        <d v="2019-09-23T00:00:00"/>
        <d v="2020-01-18T00:00:00"/>
        <d v="2023-07-25T00:00:00"/>
        <d v="2022-11-21T00:00:00"/>
        <d v="2019-12-20T00:00:00"/>
        <d v="2022-05-06T00:00:00"/>
        <d v="2020-09-19T00:00:00"/>
        <d v="2023-01-09T00:00:00"/>
        <d v="2019-12-19T00:00:00"/>
        <d v="2020-02-05T00:00:00"/>
        <d v="2022-01-03T00:00:00"/>
        <d v="2022-12-04T00:00:00"/>
        <d v="2022-07-19T00:00:00"/>
        <d v="2020-10-23T00:00:00"/>
        <d v="2024-01-20T00:00:00"/>
        <d v="2022-12-30T00:00:00"/>
        <d v="2024-06-21T00:00:00"/>
        <d v="2021-08-25T00:00:00"/>
        <d v="2021-08-08T00:00:00"/>
        <d v="2021-02-10T00:00:00"/>
        <d v="2022-06-06T00:00:00"/>
        <d v="2024-01-06T00:00:00"/>
        <d v="2019-11-23T00:00:00"/>
        <d v="2024-12-08T00:00:00"/>
        <d v="2024-07-14T00:00:00"/>
        <d v="2022-02-04T00:00:00"/>
        <d v="2019-04-11T00:00:00"/>
        <d v="2020-02-17T00:00:00"/>
        <d v="2023-04-17T00:00:00"/>
        <d v="2021-09-14T00:00:00"/>
        <d v="2023-06-30T00:00:00"/>
        <d v="2020-03-06T00:00:00"/>
        <d v="2020-09-12T00:00:00"/>
        <d v="2020-05-07T00:00:00"/>
        <d v="2023-10-04T00:00:00"/>
        <d v="2024-09-18T00:00:00"/>
        <d v="2022-04-10T00:00:00"/>
        <d v="2022-06-02T00:00:00"/>
        <d v="2023-08-02T00:00:00"/>
        <d v="2022-03-01T00:00:00"/>
        <d v="2023-12-17T00:00:00"/>
        <d v="2019-10-17T00:00:00"/>
        <d v="2021-04-13T00:00:00"/>
        <d v="2021-10-07T00:00:00"/>
        <d v="2020-05-25T00:00:00"/>
        <d v="2020-08-28T00:00:00"/>
        <d v="2022-08-17T00:00:00"/>
        <d v="2020-08-20T00:00:00"/>
        <d v="2023-08-14T00:00:00"/>
        <d v="2022-12-26T00:00:00"/>
        <d v="2021-11-02T00:00:00"/>
        <d v="2020-03-28T00:00:00"/>
        <d v="2022-04-08T00:00:00"/>
        <d v="2021-04-04T00:00:00"/>
        <d v="2020-01-06T00:00:00"/>
        <d v="2024-08-03T00:00:00"/>
        <d v="2020-09-02T00:00:00"/>
        <d v="2020-11-26T00:00:00"/>
        <d v="2023-01-20T00:00:00"/>
        <d v="2021-01-22T00:00:00"/>
        <d v="2022-03-25T00:00:00"/>
        <d v="2020-11-23T00:00:00"/>
        <d v="2019-10-12T00:00:00"/>
        <d v="2023-07-03T00:00:00"/>
        <d v="2021-06-10T00:00:00"/>
        <d v="2023-04-03T00:00:00"/>
        <d v="2019-04-10T00:00:00"/>
        <d v="2020-10-15T00:00:00"/>
        <d v="2019-12-31T00:00:00"/>
        <d v="2020-09-29T00:00:00"/>
        <d v="2024-09-14T00:00:00"/>
        <d v="2024-03-28T00:00:00"/>
        <d v="2020-06-02T00:00:00"/>
        <d v="2024-10-09T00:00:00"/>
        <d v="2024-08-14T00:00:00"/>
        <d v="2022-11-23T00:00:00"/>
        <d v="2023-11-18T00:00:00"/>
        <d v="2020-08-06T00:00:00"/>
        <d v="2019-09-25T00:00:00"/>
        <d v="2019-11-25T00:00:00"/>
        <d v="2020-07-24T00:00:00"/>
        <d v="2022-02-12T00:00:00"/>
        <d v="2023-11-26T00:00:00"/>
        <d v="2022-07-11T00:00:00"/>
        <d v="2019-09-27T00:00:00"/>
        <d v="2024-08-23T00:00:00"/>
        <d v="2019-09-20T00:00:00"/>
        <d v="2021-07-25T00:00:00"/>
        <d v="2022-12-28T00:00:00"/>
        <d v="2024-06-04T00:00:00"/>
        <d v="2022-02-20T00:00:00"/>
        <d v="2022-07-03T00:00:00"/>
        <d v="2019-10-29T00:00:00"/>
        <d v="2021-05-19T00:00:00"/>
        <d v="2023-10-05T00:00:00"/>
        <d v="2023-11-05T00:00:00"/>
        <d v="2022-08-25T00:00:00"/>
        <d v="2020-11-10T00:00:00"/>
        <d v="2024-04-06T00:00:00"/>
        <d v="2024-05-16T00:00:00"/>
        <d v="2020-06-05T00:00:00"/>
        <d v="2021-01-15T00:00:00"/>
        <d v="2020-04-21T00:00:00"/>
        <d v="2023-01-15T00:00:00"/>
        <d v="2019-03-12T00:00:00"/>
        <d v="2023-09-05T00:00:00"/>
        <d v="2021-10-22T00:00:00"/>
        <d v="2021-05-27T00:00:00"/>
        <d v="2020-05-10T00:00:00"/>
        <d v="2024-12-09T00:00:00"/>
        <d v="2020-11-21T00:00:00"/>
        <d v="2024-01-29T00:00:00"/>
        <d v="2021-05-08T00:00:00"/>
        <d v="2020-05-06T00:00:00"/>
        <d v="2021-04-01T00:00:00"/>
        <d v="2021-09-05T00:00:00"/>
        <d v="2019-12-18T00:00:00"/>
        <d v="2022-07-31T00:00:00"/>
        <d v="2021-10-14T00:00:00"/>
        <d v="2020-07-12T00:00:00"/>
        <d v="2022-12-13T00:00:00"/>
        <d v="2020-10-17T00:00:00"/>
        <d v="2024-08-04T00:00:00"/>
        <d v="2020-05-08T00:00:00"/>
        <d v="2023-11-12T00:00:00"/>
        <d v="2024-07-25T00:00:00"/>
        <d v="2021-03-07T00:00:00"/>
        <d v="2020-08-07T00:00:00"/>
        <d v="2023-06-01T00:00:00"/>
        <d v="2021-08-02T00:00:00"/>
        <d v="2023-01-22T00:00:00"/>
        <d v="2023-05-20T00:00:00"/>
        <d v="2020-04-04T00:00:00"/>
        <d v="2023-11-13T00:00:00"/>
        <d v="2022-08-27T00:00:00"/>
        <d v="2022-10-28T00:00:00"/>
        <d v="2022-05-22T00:00:00"/>
        <d v="2024-03-19T00:00:00"/>
        <d v="2021-12-02T00:00:00"/>
        <d v="2022-04-29T00:00:00"/>
        <d v="2019-07-10T00:00:00"/>
        <d v="2024-08-21T00:00:00"/>
        <d v="2022-01-07T00:00:00"/>
        <d v="2020-08-25T00:00:00"/>
        <d v="2023-04-21T00:00:00"/>
        <d v="2023-10-07T00:00:00"/>
        <d v="2022-08-06T00:00:00"/>
        <d v="2023-06-20T00:00:00"/>
        <d v="2020-03-05T00:00:00"/>
        <d v="2023-08-06T00:00:00"/>
        <d v="2019-03-10T00:00:00"/>
        <d v="2021-05-20T00:00:00"/>
        <d v="2024-05-24T00:00:00"/>
        <d v="2022-02-26T00:00:00"/>
        <d v="2023-11-28T00:00:00"/>
        <d v="2020-02-27T00:00:00"/>
        <d v="2021-06-13T00:00:00"/>
        <d v="2022-03-16T00:00:00"/>
        <d v="2023-02-07T00:00:00"/>
        <d v="2020-11-03T00:00:00"/>
        <d v="2020-05-04T00:00:00"/>
        <d v="2023-02-13T00:00:00"/>
        <d v="2023-01-30T00:00:00"/>
        <d v="2021-02-08T00:00:00"/>
        <d v="2024-02-21T00:00:00"/>
        <d v="2019-02-10T00:00:00"/>
        <d v="2020-11-22T00:00:00"/>
        <d v="2019-12-12T00:00:00"/>
        <d v="2024-02-14T00:00:00"/>
        <d v="2020-10-16T00:00:00"/>
        <d v="2021-06-16T00:00:00"/>
        <d v="2024-01-19T00:00:00"/>
        <d v="2020-12-06T00:00:00"/>
        <d v="2022-12-16T00:00:00"/>
        <d v="2022-02-24T00:00:00"/>
        <d v="2020-05-11T00:00:00"/>
        <d v="2022-11-13T00:00:00"/>
        <d v="2022-05-02T00:00:00"/>
        <d v="2020-06-09T00:00:00"/>
        <d v="2024-06-07T00:00:00"/>
        <d v="2022-11-25T00:00:00"/>
        <d v="2022-03-13T00:00:00"/>
        <d v="2023-04-10T00:00:00"/>
        <d v="2024-04-25T00:00:00"/>
        <d v="2021-07-23T00:00:00"/>
        <d v="2022-02-23T00:00:00"/>
        <d v="2022-11-02T00:00:00"/>
        <d v="2021-10-10T00:00:00"/>
        <d v="2023-02-03T00:00:00"/>
        <d v="2020-12-05T00:00:00"/>
        <d v="2022-11-07T00:00:00"/>
        <d v="2024-05-02T00:00:00"/>
        <d v="2023-11-10T00:00:00"/>
        <d v="2020-01-28T00:00:00"/>
        <d v="2023-02-23T00:00:00"/>
        <d v="2023-10-11T00:00:00"/>
        <d v="2020-06-28T00:00:00"/>
        <d v="2021-12-01T00:00:00"/>
        <d v="2020-08-15T00:00:00"/>
        <d v="2023-04-29T00:00:00"/>
        <d v="2020-10-06T00:00:00"/>
        <d v="2023-12-06T00:00:00"/>
        <d v="2021-05-30T00:00:00"/>
        <d v="2020-10-04T00:00:00"/>
        <d v="2022-12-06T00:00:00"/>
        <d v="2022-11-27T00:00:00"/>
        <d v="2022-01-10T00:00:00"/>
        <d v="2022-03-09T00:00:00"/>
        <d v="2023-06-16T00:00:00"/>
        <d v="2024-10-05T00:00:00"/>
        <d v="2022-10-26T00:00:00"/>
        <d v="2021-10-27T00:00:00"/>
        <d v="2021-01-26T00:00:00"/>
        <d v="2020-03-12T00:00:00"/>
        <d v="2023-10-25T00:00:00"/>
        <d v="2024-05-18T00:00:00"/>
        <d v="2019-09-10T00:00:00"/>
        <d v="2021-06-15T00:00:00"/>
        <d v="2021-03-27T00:00:00"/>
        <d v="2024-06-24T00:00:00"/>
        <d v="2022-05-30T00:00:00"/>
        <d v="2022-11-15T00:00:00"/>
        <d v="2020-12-10T00:00:00"/>
        <d v="2023-08-08T00:00:00"/>
        <d v="2023-10-31T00:00:00"/>
        <d v="2023-09-16T00:00:00"/>
        <d v="2020-11-28T00:00:00"/>
        <d v="2023-10-22T00:00:00"/>
        <d v="2019-10-16T00:00:00"/>
        <d v="2020-11-29T00:00:00"/>
        <d v="2022-09-03T00:00:00"/>
        <d v="2023-09-07T00:00:00"/>
        <d v="2020-07-07T00:00:00"/>
        <d v="2020-09-27T00:00:00"/>
        <d v="2022-01-12T00:00:00"/>
        <d v="2022-10-09T00:00:00"/>
        <d v="2023-02-21T00:00:00"/>
        <d v="2023-06-03T00:00:00"/>
        <d v="2022-05-12T00:00:00"/>
        <d v="2022-02-28T00:00:00"/>
        <d v="2019-08-11T00:00:00"/>
        <d v="2022-01-11T00:00:00"/>
        <d v="2022-10-02T00:00:00"/>
        <d v="2022-12-12T00:00:00"/>
        <d v="2023-08-15T00:00:00"/>
        <d v="2021-07-04T00:00:00"/>
        <d v="2021-10-16T00:00:00"/>
        <d v="2022-02-19T00:00:00"/>
        <d v="2020-02-22T00:00:00"/>
        <d v="2022-07-24T00:00:00"/>
        <d v="2022-06-07T00:00:00"/>
        <d v="2020-07-14T00:00:00"/>
        <d v="2023-03-02T00:00:00"/>
        <d v="2023-04-13T00:00:00"/>
        <d v="2024-02-01T00:00:00"/>
        <d v="2023-02-17T00:00:00"/>
        <d v="2024-01-13T00:00:00"/>
        <d v="2021-04-22T00:00:00"/>
        <d v="2024-07-26T00:00:00"/>
        <d v="2021-11-10T00:00:00"/>
        <d v="2023-04-01T00:00:00"/>
        <d v="2021-04-10T00:00:00"/>
        <d v="2019-11-29T00:00:00"/>
        <d v="2020-06-30T00:00:00"/>
        <d v="2022-10-27T00:00:00"/>
        <d v="2022-10-05T00:00:00"/>
        <d v="2021-02-17T00:00:00"/>
        <d v="2020-01-12T00:00:00"/>
        <d v="2023-01-16T00:00:00"/>
        <d v="2019-12-11T00:00:00"/>
        <d v="2021-06-28T00:00:00"/>
        <d v="2023-06-12T00:00:00"/>
        <d v="2023-02-15T00:00:00"/>
        <d v="2021-09-16T00:00:00"/>
        <d v="2021-04-06T00:00:00"/>
        <d v="2020-06-23T00:00:00"/>
        <d v="2020-03-14T00:00:00"/>
        <d v="2020-02-29T00:00:00"/>
        <d v="2024-02-06T00:00:00"/>
        <d v="2021-11-03T00:00:00"/>
        <d v="2022-01-02T00:00:00"/>
        <d v="2024-04-05T00:00:00"/>
        <d v="2021-03-09T00:00:00"/>
        <d v="2023-04-30T00:00:00"/>
        <d v="2023-08-04T00:00:00"/>
        <d v="2024-03-04T00:00:00"/>
        <d v="2024-02-20T00:00:00"/>
        <d v="2024-07-31T00:00:00"/>
        <d v="2020-05-05T00:00:00"/>
        <d v="2022-07-09T00:00:00"/>
        <d v="2021-10-18T00:00:00"/>
        <d v="2023-12-12T00:00:00"/>
        <d v="2023-11-07T00:00:00"/>
        <d v="2024-06-17T00:00:00"/>
        <d v="2023-04-23T00:00:00"/>
        <d v="2023-02-10T00:00:00"/>
        <d v="2022-09-29T00:00:00"/>
        <d v="2020-07-08T00:00:00"/>
        <d v="2023-10-16T00:00:00"/>
        <d v="2023-07-02T00:00:00"/>
        <d v="2021-09-22T00:00:00"/>
        <d v="2020-06-18T00:00:00"/>
        <d v="2023-08-18T00:00:00"/>
        <d v="2021-06-03T00:00:00"/>
        <d v="2023-01-06T00:00:00"/>
        <d v="2023-04-02T00:00:00"/>
        <d v="2021-02-25T00:00:00"/>
        <d v="2022-03-06T00:00:00"/>
        <d v="2022-06-20T00:00:00"/>
        <d v="2023-02-09T00:00:00"/>
        <d v="2022-06-18T00:00:00"/>
        <d v="2024-05-21T00:00:00"/>
        <d v="2024-06-15T00:00:00"/>
        <d v="2022-11-03T00:00:00"/>
        <d v="2023-05-01T00:00:00"/>
        <d v="2024-05-28T00:00:00"/>
        <d v="2024-07-30T00:00:00"/>
        <d v="2022-09-18T00:00:00"/>
        <d v="2022-09-13T00:00:00"/>
        <d v="2024-05-04T00:00:00"/>
        <d v="2022-04-05T00:00:00"/>
        <d v="2020-01-19T00:00:00"/>
        <d v="2020-01-02T00:00:00"/>
        <d v="2021-12-04T00:00:00"/>
        <d v="2021-03-04T00:00:00"/>
        <d v="2023-08-28T00:00:00"/>
        <d v="2021-12-09T00:00:00"/>
        <d v="2019-11-14T00:00:00"/>
        <d v="2020-12-28T00:00:00"/>
        <d v="2024-12-01T00:00:00"/>
        <d v="2023-11-30T00:00:00"/>
        <d v="2021-08-24T00:00:00"/>
        <d v="2023-10-03T00:00:00"/>
        <d v="2021-02-22T00:00:00"/>
        <d v="2019-10-31T00:00:00"/>
        <d v="2020-11-15T00:00:00"/>
        <d v="2021-09-03T00:00:00"/>
        <d v="2023-04-27T00:00:00"/>
        <d v="2024-07-08T00:00:00"/>
        <d v="2021-01-10T00:00:00"/>
        <d v="2019-05-12T00:00:00"/>
        <d v="2020-01-07T00:00:00"/>
        <d v="2022-04-24T00:00:00"/>
        <d v="2021-11-21T00:00:00"/>
        <d v="2022-04-20T00:00:00"/>
        <d v="2021-11-17T00:00:00"/>
        <d v="2022-12-15T00:00:00"/>
        <d v="2024-02-02T00:00:00"/>
        <d v="2023-05-30T00:00:00"/>
        <d v="2022-07-04T00:00:00"/>
        <d v="2021-05-10T00:00:00"/>
        <d v="2023-08-20T00:00:00"/>
        <d v="2024-06-03T00:00:00"/>
        <d v="2024-01-14T00:00:00"/>
        <d v="2021-01-25T00:00:00"/>
        <d v="2024-06-26T00:00:00"/>
        <d v="2022-02-08T00:00:00"/>
        <d v="2019-02-12T00:00:00"/>
        <d v="2022-10-15T00:00:00"/>
        <d v="2021-03-15T00:00:00"/>
        <d v="2023-02-16T00:00:00"/>
        <d v="2021-05-23T00:00:00"/>
        <d v="2023-10-09T00:00:00"/>
        <d v="2023-11-19T00:00:00"/>
        <d v="2022-05-24T00:00:00"/>
        <d v="2021-09-10T00:00:00"/>
        <d v="2020-08-26T00:00:00"/>
        <d v="2022-08-04T00:00:00"/>
        <d v="2019-11-30T00:00:00"/>
        <d v="2024-01-07T00:00:00"/>
        <d v="2021-02-07T00:00:00"/>
        <d v="2020-07-04T00:00:00"/>
        <d v="2021-04-25T00:00:00"/>
        <d v="2020-08-31T00:00:00"/>
        <d v="2022-01-20T00:00:00"/>
        <d v="2021-10-04T00:00:00"/>
        <d v="2020-02-25T00:00:00"/>
        <d v="2023-08-12T00:00:00"/>
        <d v="2023-05-21T00:00:00"/>
        <d v="2020-05-27T00:00:00"/>
        <d v="2022-06-22T00:00:00"/>
      </sharedItems>
      <fieldGroup par="14" base="4">
        <rangePr groupBy="months" startDate="2019-02-10T00:00:00" endDate="2024-12-10T00:00:00"/>
        <groupItems count="14">
          <s v="&lt;2/10/2019"/>
          <s v="Jan"/>
          <s v="Feb"/>
          <s v="Mar"/>
          <s v="Apr"/>
          <s v="May"/>
          <s v="Jun"/>
          <s v="Jul"/>
          <s v="Aug"/>
          <s v="Sep"/>
          <s v="Oct"/>
          <s v="Nov"/>
          <s v="Dec"/>
          <s v="&gt;12/10/2024"/>
        </groupItems>
      </fieldGroup>
    </cacheField>
    <cacheField name="Product Category" numFmtId="0">
      <sharedItems count="9">
        <s v="Electronics"/>
        <s v="Clothing"/>
        <s v="Sports &amp; Fitness"/>
        <s v="Pet Care"/>
        <s v="Home &amp; Kitchen"/>
        <s v="Books"/>
        <s v="Beauty and Health"/>
        <s v="Other"/>
        <s v="Toys &amp; Games"/>
      </sharedItems>
    </cacheField>
    <cacheField name="Discount Availed" numFmtId="0">
      <sharedItems count="2">
        <s v="Yes"/>
        <s v="No"/>
      </sharedItems>
    </cacheField>
    <cacheField name="Discount Name" numFmtId="0">
      <sharedItems/>
    </cacheField>
    <cacheField name="Discount Amount (INR)" numFmtId="0">
      <sharedItems containsSemiMixedTypes="0" containsString="0" containsNumber="1" minValue="0" maxValue="497.64"/>
    </cacheField>
    <cacheField name="Gross Amount" numFmtId="0">
      <sharedItems containsSemiMixedTypes="0" containsString="0" containsNumber="1" minValue="160.97999999999999" maxValue="7824.17"/>
    </cacheField>
    <cacheField name="Net Amount" numFmtId="0">
      <sharedItems containsSemiMixedTypes="0" containsString="0" containsNumber="1" minValue="-190.32" maxValue="7824.17"/>
    </cacheField>
    <cacheField name="Purchase Method" numFmtId="0">
      <sharedItems count="8">
        <s v="Credit Card"/>
        <s v="Debit Card"/>
        <s v="PhonePe UPI"/>
        <s v="Google Pay UPI"/>
        <s v="Net Banking"/>
        <s v="Cash on Delivery"/>
        <s v="Paytm UPI"/>
        <s v="International Card"/>
      </sharedItems>
    </cacheField>
    <cacheField name="Location" numFmtId="0">
      <sharedItems count="14">
        <s v="Ahmedabad"/>
        <s v="Bangalore"/>
        <s v="Delhi"/>
        <s v="Other"/>
        <s v="Chennai"/>
        <s v="Dehradun"/>
        <s v="Pune"/>
        <s v="Hyderabad"/>
        <s v="Mumbai"/>
        <s v="Jaipur"/>
        <s v="Lucknow"/>
        <s v="Kolkata"/>
        <s v="Srinagar"/>
        <s v="Varanasi"/>
      </sharedItems>
    </cacheField>
    <cacheField name="Quarters" numFmtId="0" databaseField="0">
      <fieldGroup base="4">
        <rangePr groupBy="quarters" startDate="2019-02-10T00:00:00" endDate="2024-12-10T00:00:00"/>
        <groupItems count="6">
          <s v="&lt;2/10/2019"/>
          <s v="Qtr1"/>
          <s v="Qtr2"/>
          <s v="Qtr3"/>
          <s v="Qtr4"/>
          <s v="&gt;12/10/2024"/>
        </groupItems>
      </fieldGroup>
    </cacheField>
    <cacheField name="Years" numFmtId="0" databaseField="0">
      <fieldGroup base="4">
        <rangePr groupBy="years" startDate="2019-02-10T00:00:00" endDate="2024-12-10T00:00:00"/>
        <groupItems count="8">
          <s v="&lt;2/10/2019"/>
          <s v="2019"/>
          <s v="2020"/>
          <s v="2021"/>
          <s v="2022"/>
          <s v="2023"/>
          <s v="2024"/>
          <s v="&gt;12/10/2024"/>
        </groupItems>
      </fieldGroup>
    </cacheField>
  </cacheFields>
  <extLst>
    <ext xmlns:x14="http://schemas.microsoft.com/office/spreadsheetml/2009/9/main" uri="{725AE2AE-9491-48be-B2B4-4EB974FC3084}">
      <x14:pivotCacheDefinition pivotCacheId="39764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943146"/>
    <n v="5876328741"/>
    <x v="0"/>
    <s v="25-45"/>
    <x v="0"/>
    <x v="0"/>
    <x v="0"/>
    <s v="FESTIVE50"/>
    <n v="64.3"/>
    <n v="725.3"/>
    <n v="661"/>
    <x v="0"/>
    <x v="0"/>
  </r>
  <r>
    <n v="180079"/>
    <n v="1018503182"/>
    <x v="1"/>
    <s v="25-45"/>
    <x v="1"/>
    <x v="0"/>
    <x v="0"/>
    <s v="SEASONALOFFER21"/>
    <n v="175.19"/>
    <n v="4638.99"/>
    <n v="4463.8"/>
    <x v="0"/>
    <x v="1"/>
  </r>
  <r>
    <n v="337580"/>
    <n v="3814082218"/>
    <x v="2"/>
    <s v="60 and above"/>
    <x v="2"/>
    <x v="1"/>
    <x v="0"/>
    <s v="SEASONALOFFER21"/>
    <n v="211.54"/>
    <n v="1986.37"/>
    <n v="1774.83"/>
    <x v="0"/>
    <x v="2"/>
  </r>
  <r>
    <n v="180333"/>
    <n v="1395204173"/>
    <x v="2"/>
    <s v="60 and above"/>
    <x v="3"/>
    <x v="2"/>
    <x v="1"/>
    <s v="NO DISCOUNT"/>
    <n v="0"/>
    <n v="5695.61"/>
    <n v="5695.61"/>
    <x v="1"/>
    <x v="2"/>
  </r>
  <r>
    <n v="447553"/>
    <n v="8009390577"/>
    <x v="1"/>
    <s v="18-25"/>
    <x v="4"/>
    <x v="2"/>
    <x v="0"/>
    <s v="WELCOME5"/>
    <n v="439.92"/>
    <n v="2292.65"/>
    <n v="1852.73"/>
    <x v="0"/>
    <x v="2"/>
  </r>
  <r>
    <n v="200614"/>
    <n v="3994452858"/>
    <x v="1"/>
    <s v="18-25"/>
    <x v="5"/>
    <x v="1"/>
    <x v="0"/>
    <s v="FESTIVE50"/>
    <n v="127.01"/>
    <n v="3649.4"/>
    <n v="3522.39"/>
    <x v="0"/>
    <x v="2"/>
  </r>
  <r>
    <n v="668787"/>
    <n v="9460023916"/>
    <x v="1"/>
    <s v="25-45"/>
    <x v="6"/>
    <x v="0"/>
    <x v="1"/>
    <s v="NO DISCOUNT"/>
    <n v="0"/>
    <n v="5593.94"/>
    <n v="5593.94"/>
    <x v="2"/>
    <x v="2"/>
  </r>
  <r>
    <n v="933551"/>
    <n v="6877673032"/>
    <x v="0"/>
    <s v="18-25"/>
    <x v="7"/>
    <x v="0"/>
    <x v="1"/>
    <s v="NO DISCOUNT"/>
    <n v="0"/>
    <n v="1901.8"/>
    <n v="1901.8"/>
    <x v="0"/>
    <x v="2"/>
  </r>
  <r>
    <n v="414167"/>
    <n v="2841266620"/>
    <x v="1"/>
    <s v="18-25"/>
    <x v="8"/>
    <x v="3"/>
    <x v="1"/>
    <s v="NO DISCOUNT"/>
    <n v="0"/>
    <n v="3961.67"/>
    <n v="3961.67"/>
    <x v="1"/>
    <x v="2"/>
  </r>
  <r>
    <n v="889269"/>
    <n v="1342270638"/>
    <x v="2"/>
    <s v="60 and above"/>
    <x v="9"/>
    <x v="1"/>
    <x v="0"/>
    <s v="SAVE10"/>
    <n v="437.5"/>
    <n v="1497.35"/>
    <n v="1059.8499999999999"/>
    <x v="0"/>
    <x v="1"/>
  </r>
  <r>
    <n v="931578"/>
    <n v="5168806107"/>
    <x v="2"/>
    <s v="25-45"/>
    <x v="10"/>
    <x v="1"/>
    <x v="1"/>
    <s v="NO DISCOUNT"/>
    <n v="0"/>
    <n v="7824.17"/>
    <n v="7824.17"/>
    <x v="0"/>
    <x v="3"/>
  </r>
  <r>
    <n v="629298"/>
    <n v="2229511931"/>
    <x v="2"/>
    <s v="45-60"/>
    <x v="11"/>
    <x v="0"/>
    <x v="1"/>
    <s v="NO DISCOUNT"/>
    <n v="0"/>
    <n v="988.17"/>
    <n v="988.17"/>
    <x v="3"/>
    <x v="4"/>
  </r>
  <r>
    <n v="665042"/>
    <n v="3754858574"/>
    <x v="0"/>
    <s v="25-45"/>
    <x v="12"/>
    <x v="0"/>
    <x v="0"/>
    <s v="SEASONALOFFER21"/>
    <n v="97.88"/>
    <n v="3508.94"/>
    <n v="3411.06"/>
    <x v="4"/>
    <x v="5"/>
  </r>
  <r>
    <n v="570860"/>
    <n v="6791123870"/>
    <x v="1"/>
    <s v="25-45"/>
    <x v="13"/>
    <x v="0"/>
    <x v="0"/>
    <s v="FESTIVE50"/>
    <n v="269.87"/>
    <n v="618.11"/>
    <n v="348.24"/>
    <x v="5"/>
    <x v="4"/>
  </r>
  <r>
    <n v="367541"/>
    <n v="9916932604"/>
    <x v="2"/>
    <s v="18-25"/>
    <x v="14"/>
    <x v="4"/>
    <x v="0"/>
    <s v="NEWYEARS"/>
    <n v="268.7"/>
    <n v="560.96"/>
    <n v="292.26"/>
    <x v="0"/>
    <x v="6"/>
  </r>
  <r>
    <n v="143460"/>
    <n v="2441027824"/>
    <x v="2"/>
    <s v="25-45"/>
    <x v="15"/>
    <x v="0"/>
    <x v="1"/>
    <s v="NO DISCOUNT"/>
    <n v="0"/>
    <n v="4996.1099999999997"/>
    <n v="4996.1099999999997"/>
    <x v="1"/>
    <x v="2"/>
  </r>
  <r>
    <n v="573298"/>
    <n v="5515725036"/>
    <x v="2"/>
    <s v="25-45"/>
    <x v="16"/>
    <x v="2"/>
    <x v="1"/>
    <s v="NO DISCOUNT"/>
    <n v="0"/>
    <n v="2729.75"/>
    <n v="2729.75"/>
    <x v="4"/>
    <x v="0"/>
  </r>
  <r>
    <n v="454101"/>
    <n v="6091881739"/>
    <x v="1"/>
    <s v="under 18"/>
    <x v="17"/>
    <x v="0"/>
    <x v="0"/>
    <s v="NEWYEARS"/>
    <n v="368.53"/>
    <n v="457.32"/>
    <n v="88.79"/>
    <x v="0"/>
    <x v="7"/>
  </r>
  <r>
    <n v="337178"/>
    <n v="6774128207"/>
    <x v="2"/>
    <s v="18-25"/>
    <x v="18"/>
    <x v="4"/>
    <x v="0"/>
    <s v="SEASONALOFFER21"/>
    <n v="375.51"/>
    <n v="4141.6400000000003"/>
    <n v="3766.13"/>
    <x v="0"/>
    <x v="0"/>
  </r>
  <r>
    <n v="787512"/>
    <n v="9582806381"/>
    <x v="1"/>
    <s v="18-25"/>
    <x v="19"/>
    <x v="5"/>
    <x v="1"/>
    <s v="NO DISCOUNT"/>
    <n v="0"/>
    <n v="1952.42"/>
    <n v="1952.42"/>
    <x v="6"/>
    <x v="8"/>
  </r>
  <r>
    <n v="538174"/>
    <n v="1322344974"/>
    <x v="1"/>
    <s v="60 and above"/>
    <x v="20"/>
    <x v="2"/>
    <x v="1"/>
    <s v="NO DISCOUNT"/>
    <n v="0"/>
    <n v="5025.71"/>
    <n v="5025.71"/>
    <x v="4"/>
    <x v="8"/>
  </r>
  <r>
    <n v="110195"/>
    <n v="8013666930"/>
    <x v="0"/>
    <s v="25-45"/>
    <x v="21"/>
    <x v="0"/>
    <x v="0"/>
    <s v="WELCOME5"/>
    <n v="83.92"/>
    <n v="3977.36"/>
    <n v="3893.44"/>
    <x v="1"/>
    <x v="2"/>
  </r>
  <r>
    <n v="443120"/>
    <n v="4473452038"/>
    <x v="0"/>
    <s v="under 18"/>
    <x v="22"/>
    <x v="2"/>
    <x v="0"/>
    <s v="NEWYEARS"/>
    <n v="268.54000000000002"/>
    <n v="1495.2"/>
    <n v="1226.6600000000001"/>
    <x v="1"/>
    <x v="8"/>
  </r>
  <r>
    <n v="910099"/>
    <n v="7930280777"/>
    <x v="2"/>
    <s v="25-45"/>
    <x v="23"/>
    <x v="0"/>
    <x v="1"/>
    <s v="NO DISCOUNT"/>
    <n v="0"/>
    <n v="1629.3"/>
    <n v="1629.3"/>
    <x v="0"/>
    <x v="9"/>
  </r>
  <r>
    <n v="745014"/>
    <n v="9202622469"/>
    <x v="1"/>
    <s v="18-25"/>
    <x v="24"/>
    <x v="1"/>
    <x v="0"/>
    <s v="SAVE10"/>
    <n v="75.72"/>
    <n v="3579.91"/>
    <n v="3504.19"/>
    <x v="0"/>
    <x v="8"/>
  </r>
  <r>
    <n v="292237"/>
    <n v="1250629827"/>
    <x v="2"/>
    <s v="25-45"/>
    <x v="25"/>
    <x v="6"/>
    <x v="0"/>
    <s v="FESTIVE50"/>
    <n v="353.85"/>
    <n v="1929.66"/>
    <n v="1575.81"/>
    <x v="0"/>
    <x v="6"/>
  </r>
  <r>
    <n v="654718"/>
    <n v="6758404906"/>
    <x v="2"/>
    <s v="under 18"/>
    <x v="26"/>
    <x v="6"/>
    <x v="1"/>
    <s v="NO DISCOUNT"/>
    <n v="0"/>
    <n v="5058"/>
    <n v="5058"/>
    <x v="1"/>
    <x v="8"/>
  </r>
  <r>
    <n v="772149"/>
    <n v="2726106260"/>
    <x v="2"/>
    <s v="18-25"/>
    <x v="27"/>
    <x v="1"/>
    <x v="1"/>
    <s v="NO DISCOUNT"/>
    <n v="0"/>
    <n v="2129.58"/>
    <n v="2129.58"/>
    <x v="0"/>
    <x v="7"/>
  </r>
  <r>
    <n v="655550"/>
    <n v="7463349293"/>
    <x v="0"/>
    <s v="18-25"/>
    <x v="28"/>
    <x v="6"/>
    <x v="1"/>
    <s v="NO DISCOUNT"/>
    <n v="0"/>
    <n v="1164.8399999999999"/>
    <n v="1164.8399999999999"/>
    <x v="1"/>
    <x v="1"/>
  </r>
  <r>
    <n v="566018"/>
    <n v="6086235198"/>
    <x v="2"/>
    <s v="18-25"/>
    <x v="29"/>
    <x v="4"/>
    <x v="1"/>
    <s v="NO DISCOUNT"/>
    <n v="0"/>
    <n v="2945.22"/>
    <n v="2945.22"/>
    <x v="0"/>
    <x v="6"/>
  </r>
  <r>
    <n v="336108"/>
    <n v="2957151067"/>
    <x v="0"/>
    <s v="25-45"/>
    <x v="30"/>
    <x v="4"/>
    <x v="0"/>
    <s v="NEWYEARS"/>
    <n v="450.37"/>
    <n v="4050.78"/>
    <n v="3600.41"/>
    <x v="0"/>
    <x v="10"/>
  </r>
  <r>
    <n v="521139"/>
    <n v="2736057295"/>
    <x v="0"/>
    <s v="18-25"/>
    <x v="31"/>
    <x v="6"/>
    <x v="1"/>
    <s v="NO DISCOUNT"/>
    <n v="0"/>
    <n v="3290.56"/>
    <n v="3290.56"/>
    <x v="4"/>
    <x v="7"/>
  </r>
  <r>
    <n v="171973"/>
    <n v="7034831125"/>
    <x v="2"/>
    <s v="25-45"/>
    <x v="32"/>
    <x v="4"/>
    <x v="0"/>
    <s v="SEASONALOFFER21"/>
    <n v="108.87"/>
    <n v="6862.83"/>
    <n v="6753.96"/>
    <x v="0"/>
    <x v="2"/>
  </r>
  <r>
    <n v="427162"/>
    <n v="6407323241"/>
    <x v="2"/>
    <s v="under 18"/>
    <x v="33"/>
    <x v="6"/>
    <x v="0"/>
    <s v="SEASONALOFFER21"/>
    <n v="425.57"/>
    <n v="3272.69"/>
    <n v="2847.12"/>
    <x v="1"/>
    <x v="8"/>
  </r>
  <r>
    <n v="572298"/>
    <n v="3046169433"/>
    <x v="1"/>
    <s v="45-60"/>
    <x v="34"/>
    <x v="0"/>
    <x v="0"/>
    <s v="WELCOME5"/>
    <n v="144.53"/>
    <n v="1285.4100000000001"/>
    <n v="1140.8800000000001"/>
    <x v="0"/>
    <x v="5"/>
  </r>
  <r>
    <n v="592489"/>
    <n v="5651462936"/>
    <x v="1"/>
    <s v="60 and above"/>
    <x v="35"/>
    <x v="6"/>
    <x v="0"/>
    <s v="WELCOME5"/>
    <n v="489.29"/>
    <n v="4225.12"/>
    <n v="3735.83"/>
    <x v="3"/>
    <x v="4"/>
  </r>
  <r>
    <n v="297594"/>
    <n v="1955554145"/>
    <x v="0"/>
    <s v="45-60"/>
    <x v="36"/>
    <x v="2"/>
    <x v="0"/>
    <s v="NEWYEARS"/>
    <n v="404.32"/>
    <n v="1085.56"/>
    <n v="681.24"/>
    <x v="0"/>
    <x v="11"/>
  </r>
  <r>
    <n v="862400"/>
    <n v="6068201504"/>
    <x v="2"/>
    <s v="25-45"/>
    <x v="37"/>
    <x v="0"/>
    <x v="0"/>
    <s v="NEWYEARS"/>
    <n v="347.01"/>
    <n v="1968.02"/>
    <n v="1621.01"/>
    <x v="6"/>
    <x v="2"/>
  </r>
  <r>
    <n v="343390"/>
    <n v="7493781432"/>
    <x v="2"/>
    <s v="25-45"/>
    <x v="38"/>
    <x v="7"/>
    <x v="1"/>
    <s v="NO DISCOUNT"/>
    <n v="0"/>
    <n v="4940.57"/>
    <n v="4940.57"/>
    <x v="0"/>
    <x v="2"/>
  </r>
  <r>
    <n v="657783"/>
    <n v="4766466385"/>
    <x v="2"/>
    <s v="60 and above"/>
    <x v="39"/>
    <x v="0"/>
    <x v="1"/>
    <s v="NO DISCOUNT"/>
    <n v="0"/>
    <n v="1917.91"/>
    <n v="1917.91"/>
    <x v="1"/>
    <x v="8"/>
  </r>
  <r>
    <n v="520940"/>
    <n v="7063849825"/>
    <x v="1"/>
    <s v="45-60"/>
    <x v="40"/>
    <x v="7"/>
    <x v="0"/>
    <s v="SAVE10"/>
    <n v="50.76"/>
    <n v="5798.8"/>
    <n v="5748.04"/>
    <x v="0"/>
    <x v="8"/>
  </r>
  <r>
    <n v="338169"/>
    <n v="3574854627"/>
    <x v="2"/>
    <s v="18-25"/>
    <x v="41"/>
    <x v="8"/>
    <x v="1"/>
    <s v="NO DISCOUNT"/>
    <n v="0"/>
    <n v="3283.33"/>
    <n v="3283.33"/>
    <x v="4"/>
    <x v="1"/>
  </r>
  <r>
    <n v="652388"/>
    <n v="5725712173"/>
    <x v="2"/>
    <s v="25-45"/>
    <x v="42"/>
    <x v="1"/>
    <x v="1"/>
    <s v="NO DISCOUNT"/>
    <n v="0"/>
    <n v="3875.1"/>
    <n v="3875.1"/>
    <x v="0"/>
    <x v="1"/>
  </r>
  <r>
    <n v="124240"/>
    <n v="3303385112"/>
    <x v="1"/>
    <s v="45-60"/>
    <x v="43"/>
    <x v="8"/>
    <x v="1"/>
    <s v="NO DISCOUNT"/>
    <n v="0"/>
    <n v="2331.41"/>
    <n v="2331.41"/>
    <x v="4"/>
    <x v="7"/>
  </r>
  <r>
    <n v="850800"/>
    <n v="7320956570"/>
    <x v="0"/>
    <s v="25-45"/>
    <x v="44"/>
    <x v="0"/>
    <x v="1"/>
    <s v="NO DISCOUNT"/>
    <n v="0"/>
    <n v="2145.34"/>
    <n v="2145.34"/>
    <x v="5"/>
    <x v="2"/>
  </r>
  <r>
    <n v="860652"/>
    <n v="4092870576"/>
    <x v="1"/>
    <s v="25-45"/>
    <x v="45"/>
    <x v="5"/>
    <x v="1"/>
    <s v="NO DISCOUNT"/>
    <n v="0"/>
    <n v="3060.68"/>
    <n v="3060.68"/>
    <x v="7"/>
    <x v="0"/>
  </r>
  <r>
    <n v="892356"/>
    <n v="1692940438"/>
    <x v="0"/>
    <s v="18-25"/>
    <x v="46"/>
    <x v="8"/>
    <x v="0"/>
    <s v="NEWYEARS"/>
    <n v="160.18"/>
    <n v="2834.84"/>
    <n v="2674.66"/>
    <x v="0"/>
    <x v="11"/>
  </r>
  <r>
    <n v="189026"/>
    <n v="1636012605"/>
    <x v="1"/>
    <s v="25-45"/>
    <x v="47"/>
    <x v="4"/>
    <x v="1"/>
    <s v="NO DISCOUNT"/>
    <n v="0"/>
    <n v="1393.32"/>
    <n v="1393.32"/>
    <x v="1"/>
    <x v="2"/>
  </r>
  <r>
    <n v="543555"/>
    <n v="3388286985"/>
    <x v="2"/>
    <s v="45-60"/>
    <x v="48"/>
    <x v="4"/>
    <x v="1"/>
    <s v="NO DISCOUNT"/>
    <n v="0"/>
    <n v="384.7"/>
    <n v="384.7"/>
    <x v="3"/>
    <x v="2"/>
  </r>
  <r>
    <n v="130710"/>
    <n v="9646503430"/>
    <x v="2"/>
    <s v="25-45"/>
    <x v="49"/>
    <x v="0"/>
    <x v="1"/>
    <s v="NO DISCOUNT"/>
    <n v="0"/>
    <n v="4924.21"/>
    <n v="4924.21"/>
    <x v="0"/>
    <x v="1"/>
  </r>
  <r>
    <n v="970294"/>
    <n v="7318079236"/>
    <x v="1"/>
    <s v="45-60"/>
    <x v="50"/>
    <x v="2"/>
    <x v="0"/>
    <s v="SAVE10"/>
    <n v="263.60000000000002"/>
    <n v="1393.01"/>
    <n v="1129.4100000000001"/>
    <x v="1"/>
    <x v="1"/>
  </r>
  <r>
    <n v="517654"/>
    <n v="3259190770"/>
    <x v="2"/>
    <s v="25-45"/>
    <x v="51"/>
    <x v="0"/>
    <x v="1"/>
    <s v="NO DISCOUNT"/>
    <n v="0"/>
    <n v="665.12"/>
    <n v="665.12"/>
    <x v="5"/>
    <x v="2"/>
  </r>
  <r>
    <n v="873964"/>
    <n v="2276293556"/>
    <x v="0"/>
    <s v="18-25"/>
    <x v="52"/>
    <x v="1"/>
    <x v="1"/>
    <s v="NO DISCOUNT"/>
    <n v="0"/>
    <n v="3691.44"/>
    <n v="3691.44"/>
    <x v="3"/>
    <x v="8"/>
  </r>
  <r>
    <n v="871754"/>
    <n v="2172180491"/>
    <x v="0"/>
    <s v="25-45"/>
    <x v="53"/>
    <x v="1"/>
    <x v="1"/>
    <s v="NO DISCOUNT"/>
    <n v="0"/>
    <n v="1926.82"/>
    <n v="1926.82"/>
    <x v="1"/>
    <x v="2"/>
  </r>
  <r>
    <n v="247515"/>
    <n v="7675430541"/>
    <x v="2"/>
    <s v="25-45"/>
    <x v="54"/>
    <x v="0"/>
    <x v="1"/>
    <s v="NO DISCOUNT"/>
    <n v="0"/>
    <n v="1726.13"/>
    <n v="1726.13"/>
    <x v="3"/>
    <x v="1"/>
  </r>
  <r>
    <n v="770342"/>
    <n v="1497451839"/>
    <x v="2"/>
    <s v="25-45"/>
    <x v="55"/>
    <x v="8"/>
    <x v="0"/>
    <s v="SEASONALOFFER21"/>
    <n v="172.82"/>
    <n v="3745.51"/>
    <n v="3572.69"/>
    <x v="1"/>
    <x v="1"/>
  </r>
  <r>
    <n v="136445"/>
    <n v="6352709082"/>
    <x v="1"/>
    <s v="18-25"/>
    <x v="56"/>
    <x v="2"/>
    <x v="0"/>
    <s v="WELCOME5"/>
    <n v="290.36"/>
    <n v="6368.04"/>
    <n v="6077.68"/>
    <x v="1"/>
    <x v="1"/>
  </r>
  <r>
    <n v="983370"/>
    <n v="2350417425"/>
    <x v="1"/>
    <s v="18-25"/>
    <x v="57"/>
    <x v="0"/>
    <x v="0"/>
    <s v="NEWYEARS"/>
    <n v="197.31"/>
    <n v="2437.73"/>
    <n v="2240.42"/>
    <x v="1"/>
    <x v="1"/>
  </r>
  <r>
    <n v="166191"/>
    <n v="9348038100"/>
    <x v="2"/>
    <s v="45-60"/>
    <x v="28"/>
    <x v="1"/>
    <x v="0"/>
    <s v="SEASONALOFFER21"/>
    <n v="387.06"/>
    <n v="591.85"/>
    <n v="204.79"/>
    <x v="5"/>
    <x v="2"/>
  </r>
  <r>
    <n v="206470"/>
    <n v="3542829706"/>
    <x v="0"/>
    <s v="under 18"/>
    <x v="43"/>
    <x v="0"/>
    <x v="0"/>
    <s v="NEWYEARS"/>
    <n v="59.17"/>
    <n v="977.96"/>
    <n v="918.79"/>
    <x v="7"/>
    <x v="8"/>
  </r>
  <r>
    <n v="938970"/>
    <n v="7170496447"/>
    <x v="1"/>
    <s v="25-45"/>
    <x v="58"/>
    <x v="0"/>
    <x v="1"/>
    <s v="NO DISCOUNT"/>
    <n v="0"/>
    <n v="1062.57"/>
    <n v="1062.57"/>
    <x v="2"/>
    <x v="2"/>
  </r>
  <r>
    <n v="989136"/>
    <n v="5211405428"/>
    <x v="2"/>
    <s v="25-45"/>
    <x v="59"/>
    <x v="0"/>
    <x v="1"/>
    <s v="NO DISCOUNT"/>
    <n v="0"/>
    <n v="2612.9499999999998"/>
    <n v="2612.9499999999998"/>
    <x v="0"/>
    <x v="9"/>
  </r>
  <r>
    <n v="143141"/>
    <n v="3251382571"/>
    <x v="0"/>
    <s v="18-25"/>
    <x v="60"/>
    <x v="2"/>
    <x v="0"/>
    <s v="SAVE10"/>
    <n v="304.67"/>
    <n v="488.87"/>
    <n v="184.2"/>
    <x v="1"/>
    <x v="4"/>
  </r>
  <r>
    <n v="616643"/>
    <n v="3321212528"/>
    <x v="1"/>
    <s v="18-25"/>
    <x v="61"/>
    <x v="1"/>
    <x v="1"/>
    <s v="NO DISCOUNT"/>
    <n v="0"/>
    <n v="694.95"/>
    <n v="694.95"/>
    <x v="1"/>
    <x v="6"/>
  </r>
  <r>
    <n v="559693"/>
    <n v="2288928005"/>
    <x v="1"/>
    <s v="25-45"/>
    <x v="62"/>
    <x v="4"/>
    <x v="1"/>
    <s v="NO DISCOUNT"/>
    <n v="0"/>
    <n v="3427.36"/>
    <n v="3427.36"/>
    <x v="4"/>
    <x v="4"/>
  </r>
  <r>
    <n v="695402"/>
    <n v="2414884090"/>
    <x v="2"/>
    <s v="25-45"/>
    <x v="63"/>
    <x v="1"/>
    <x v="0"/>
    <s v="SAVE10"/>
    <n v="89"/>
    <n v="5089.8"/>
    <n v="5000.8"/>
    <x v="6"/>
    <x v="2"/>
  </r>
  <r>
    <n v="266140"/>
    <n v="9921511630"/>
    <x v="2"/>
    <s v="18-25"/>
    <x v="64"/>
    <x v="6"/>
    <x v="1"/>
    <s v="NO DISCOUNT"/>
    <n v="0"/>
    <n v="1068.04"/>
    <n v="1068.04"/>
    <x v="4"/>
    <x v="1"/>
  </r>
  <r>
    <n v="126927"/>
    <n v="8111548844"/>
    <x v="1"/>
    <s v="25-45"/>
    <x v="62"/>
    <x v="0"/>
    <x v="0"/>
    <s v="SEASONALOFFER21"/>
    <n v="135.97999999999999"/>
    <n v="1442.73"/>
    <n v="1306.75"/>
    <x v="0"/>
    <x v="6"/>
  </r>
  <r>
    <n v="346425"/>
    <n v="7245450482"/>
    <x v="1"/>
    <s v="25-45"/>
    <x v="65"/>
    <x v="5"/>
    <x v="0"/>
    <s v="NEWYEARS"/>
    <n v="149.72"/>
    <n v="4048.47"/>
    <n v="3898.75"/>
    <x v="4"/>
    <x v="1"/>
  </r>
  <r>
    <n v="826229"/>
    <n v="3364820508"/>
    <x v="1"/>
    <s v="18-25"/>
    <x v="19"/>
    <x v="1"/>
    <x v="1"/>
    <s v="NO DISCOUNT"/>
    <n v="0"/>
    <n v="1939.81"/>
    <n v="1939.81"/>
    <x v="1"/>
    <x v="3"/>
  </r>
  <r>
    <n v="737658"/>
    <n v="9955017329"/>
    <x v="0"/>
    <s v="18-25"/>
    <x v="66"/>
    <x v="0"/>
    <x v="0"/>
    <s v="NEWYEARS"/>
    <n v="382.37"/>
    <n v="1677.4"/>
    <n v="1295.03"/>
    <x v="0"/>
    <x v="8"/>
  </r>
  <r>
    <n v="708761"/>
    <n v="1958948752"/>
    <x v="2"/>
    <s v="18-25"/>
    <x v="67"/>
    <x v="6"/>
    <x v="0"/>
    <s v="SEASONALOFFER21"/>
    <n v="186.02"/>
    <n v="5770.06"/>
    <n v="5584.04"/>
    <x v="0"/>
    <x v="8"/>
  </r>
  <r>
    <n v="252591"/>
    <n v="6773951619"/>
    <x v="0"/>
    <s v="25-45"/>
    <x v="68"/>
    <x v="7"/>
    <x v="1"/>
    <s v="NO DISCOUNT"/>
    <n v="0"/>
    <n v="728.49"/>
    <n v="728.49"/>
    <x v="1"/>
    <x v="8"/>
  </r>
  <r>
    <n v="508396"/>
    <n v="5157819119"/>
    <x v="1"/>
    <s v="18-25"/>
    <x v="69"/>
    <x v="1"/>
    <x v="1"/>
    <s v="NO DISCOUNT"/>
    <n v="0"/>
    <n v="773.65"/>
    <n v="773.65"/>
    <x v="1"/>
    <x v="8"/>
  </r>
  <r>
    <n v="999695"/>
    <n v="1626674261"/>
    <x v="1"/>
    <s v="18-25"/>
    <x v="70"/>
    <x v="0"/>
    <x v="1"/>
    <s v="NO DISCOUNT"/>
    <n v="0"/>
    <n v="619.44000000000005"/>
    <n v="619.44000000000005"/>
    <x v="1"/>
    <x v="8"/>
  </r>
  <r>
    <n v="622873"/>
    <n v="7204650545"/>
    <x v="0"/>
    <s v="45-60"/>
    <x v="71"/>
    <x v="5"/>
    <x v="1"/>
    <s v="NO DISCOUNT"/>
    <n v="0"/>
    <n v="2825.35"/>
    <n v="2825.35"/>
    <x v="1"/>
    <x v="2"/>
  </r>
  <r>
    <n v="833087"/>
    <n v="3472651123"/>
    <x v="0"/>
    <s v="25-45"/>
    <x v="72"/>
    <x v="6"/>
    <x v="0"/>
    <s v="WELCOME5"/>
    <n v="143.5"/>
    <n v="1214.54"/>
    <n v="1071.04"/>
    <x v="1"/>
    <x v="8"/>
  </r>
  <r>
    <n v="232315"/>
    <n v="8792450228"/>
    <x v="0"/>
    <s v="under 18"/>
    <x v="73"/>
    <x v="0"/>
    <x v="1"/>
    <s v="NO DISCOUNT"/>
    <n v="0"/>
    <n v="1757.94"/>
    <n v="1757.94"/>
    <x v="0"/>
    <x v="1"/>
  </r>
  <r>
    <n v="355652"/>
    <n v="7752397545"/>
    <x v="0"/>
    <s v="18-25"/>
    <x v="74"/>
    <x v="0"/>
    <x v="1"/>
    <s v="NO DISCOUNT"/>
    <n v="0"/>
    <n v="5162.26"/>
    <n v="5162.26"/>
    <x v="3"/>
    <x v="2"/>
  </r>
  <r>
    <n v="361977"/>
    <n v="2195106251"/>
    <x v="1"/>
    <s v="25-45"/>
    <x v="75"/>
    <x v="8"/>
    <x v="1"/>
    <s v="NO DISCOUNT"/>
    <n v="0"/>
    <n v="5198.95"/>
    <n v="5198.95"/>
    <x v="1"/>
    <x v="7"/>
  </r>
  <r>
    <n v="335421"/>
    <n v="9438531871"/>
    <x v="0"/>
    <s v="45-60"/>
    <x v="76"/>
    <x v="5"/>
    <x v="1"/>
    <s v="NO DISCOUNT"/>
    <n v="0"/>
    <n v="847.26"/>
    <n v="847.26"/>
    <x v="1"/>
    <x v="9"/>
  </r>
  <r>
    <n v="770699"/>
    <n v="3738611918"/>
    <x v="2"/>
    <s v="25-45"/>
    <x v="77"/>
    <x v="8"/>
    <x v="0"/>
    <s v="WELCOME5"/>
    <n v="380.54"/>
    <n v="3539.71"/>
    <n v="3159.17"/>
    <x v="1"/>
    <x v="8"/>
  </r>
  <r>
    <n v="823811"/>
    <n v="7628087488"/>
    <x v="0"/>
    <s v="25-45"/>
    <x v="78"/>
    <x v="7"/>
    <x v="1"/>
    <s v="NO DISCOUNT"/>
    <n v="0"/>
    <n v="3828.24"/>
    <n v="3828.24"/>
    <x v="6"/>
    <x v="12"/>
  </r>
  <r>
    <n v="499917"/>
    <n v="2620328765"/>
    <x v="1"/>
    <s v="18-25"/>
    <x v="79"/>
    <x v="2"/>
    <x v="1"/>
    <s v="NO DISCOUNT"/>
    <n v="0"/>
    <n v="4328.55"/>
    <n v="4328.55"/>
    <x v="2"/>
    <x v="7"/>
  </r>
  <r>
    <n v="442699"/>
    <n v="6963593440"/>
    <x v="1"/>
    <s v="45-60"/>
    <x v="80"/>
    <x v="1"/>
    <x v="1"/>
    <s v="NO DISCOUNT"/>
    <n v="0"/>
    <n v="1857.43"/>
    <n v="1857.43"/>
    <x v="4"/>
    <x v="2"/>
  </r>
  <r>
    <n v="443818"/>
    <n v="2974386802"/>
    <x v="2"/>
    <s v="18-25"/>
    <x v="81"/>
    <x v="6"/>
    <x v="1"/>
    <s v="NO DISCOUNT"/>
    <n v="0"/>
    <n v="5018.2700000000004"/>
    <n v="5018.2700000000004"/>
    <x v="1"/>
    <x v="2"/>
  </r>
  <r>
    <n v="148050"/>
    <n v="6469075740"/>
    <x v="1"/>
    <s v="18-25"/>
    <x v="82"/>
    <x v="6"/>
    <x v="1"/>
    <s v="NO DISCOUNT"/>
    <n v="0"/>
    <n v="3437.89"/>
    <n v="3437.89"/>
    <x v="1"/>
    <x v="2"/>
  </r>
  <r>
    <n v="133782"/>
    <n v="4838325927"/>
    <x v="0"/>
    <s v="25-45"/>
    <x v="83"/>
    <x v="6"/>
    <x v="0"/>
    <s v="NEWYEARS"/>
    <n v="333.51"/>
    <n v="3805.2"/>
    <n v="3471.69"/>
    <x v="2"/>
    <x v="0"/>
  </r>
  <r>
    <n v="889188"/>
    <n v="7008973602"/>
    <x v="0"/>
    <s v="18-25"/>
    <x v="84"/>
    <x v="0"/>
    <x v="0"/>
    <s v="SEASONALOFFER21"/>
    <n v="102.86"/>
    <n v="6153.26"/>
    <n v="6050.4"/>
    <x v="1"/>
    <x v="6"/>
  </r>
  <r>
    <n v="206180"/>
    <n v="7202617230"/>
    <x v="2"/>
    <s v="25-45"/>
    <x v="85"/>
    <x v="0"/>
    <x v="1"/>
    <s v="NO DISCOUNT"/>
    <n v="0"/>
    <n v="1258.83"/>
    <n v="1258.83"/>
    <x v="4"/>
    <x v="1"/>
  </r>
  <r>
    <n v="528334"/>
    <n v="4979044468"/>
    <x v="0"/>
    <s v="25-45"/>
    <x v="86"/>
    <x v="0"/>
    <x v="0"/>
    <s v="NEWYEARS"/>
    <n v="405.5"/>
    <n v="2594.96"/>
    <n v="2189.46"/>
    <x v="1"/>
    <x v="8"/>
  </r>
  <r>
    <n v="334882"/>
    <n v="5591801596"/>
    <x v="0"/>
    <s v="45-60"/>
    <x v="87"/>
    <x v="0"/>
    <x v="1"/>
    <s v="NO DISCOUNT"/>
    <n v="0"/>
    <n v="5704.79"/>
    <n v="5704.79"/>
    <x v="4"/>
    <x v="7"/>
  </r>
  <r>
    <n v="718541"/>
    <n v="1251625882"/>
    <x v="1"/>
    <s v="25-45"/>
    <x v="88"/>
    <x v="1"/>
    <x v="1"/>
    <s v="NO DISCOUNT"/>
    <n v="0"/>
    <n v="5524.98"/>
    <n v="5524.98"/>
    <x v="1"/>
    <x v="1"/>
  </r>
  <r>
    <n v="159830"/>
    <n v="9677962911"/>
    <x v="1"/>
    <s v="under 18"/>
    <x v="89"/>
    <x v="0"/>
    <x v="1"/>
    <s v="NO DISCOUNT"/>
    <n v="0"/>
    <n v="1976.97"/>
    <n v="1976.97"/>
    <x v="5"/>
    <x v="4"/>
  </r>
  <r>
    <n v="501557"/>
    <n v="6130129180"/>
    <x v="1"/>
    <s v="25-45"/>
    <x v="90"/>
    <x v="0"/>
    <x v="1"/>
    <s v="NO DISCOUNT"/>
    <n v="0"/>
    <n v="646.27"/>
    <n v="646.27"/>
    <x v="1"/>
    <x v="6"/>
  </r>
  <r>
    <n v="451800"/>
    <n v="7003375034"/>
    <x v="0"/>
    <s v="60 and above"/>
    <x v="91"/>
    <x v="0"/>
    <x v="1"/>
    <s v="NO DISCOUNT"/>
    <n v="0"/>
    <n v="1854.74"/>
    <n v="1854.74"/>
    <x v="3"/>
    <x v="8"/>
  </r>
  <r>
    <n v="376347"/>
    <n v="6589015100"/>
    <x v="1"/>
    <s v="45-60"/>
    <x v="92"/>
    <x v="4"/>
    <x v="1"/>
    <s v="NO DISCOUNT"/>
    <n v="0"/>
    <n v="5359.17"/>
    <n v="5359.17"/>
    <x v="3"/>
    <x v="2"/>
  </r>
  <r>
    <n v="313181"/>
    <n v="6069564813"/>
    <x v="2"/>
    <s v="25-45"/>
    <x v="93"/>
    <x v="0"/>
    <x v="0"/>
    <s v="SAVE10"/>
    <n v="245.29"/>
    <n v="690.2"/>
    <n v="444.91"/>
    <x v="0"/>
    <x v="9"/>
  </r>
  <r>
    <n v="362865"/>
    <n v="7577758569"/>
    <x v="1"/>
    <s v="under 18"/>
    <x v="94"/>
    <x v="2"/>
    <x v="1"/>
    <s v="NO DISCOUNT"/>
    <n v="0"/>
    <n v="2077.41"/>
    <n v="2077.41"/>
    <x v="2"/>
    <x v="11"/>
  </r>
  <r>
    <n v="204768"/>
    <n v="2076027794"/>
    <x v="0"/>
    <s v="45-60"/>
    <x v="95"/>
    <x v="6"/>
    <x v="0"/>
    <s v="FESTIVE50"/>
    <n v="222.14"/>
    <n v="3428.57"/>
    <n v="3206.43"/>
    <x v="1"/>
    <x v="8"/>
  </r>
  <r>
    <n v="327575"/>
    <n v="5432018576"/>
    <x v="2"/>
    <s v="18-25"/>
    <x v="96"/>
    <x v="0"/>
    <x v="0"/>
    <s v="WELCOME5"/>
    <n v="259.36"/>
    <n v="1622.26"/>
    <n v="1362.9"/>
    <x v="1"/>
    <x v="2"/>
  </r>
  <r>
    <n v="119469"/>
    <n v="5836214931"/>
    <x v="0"/>
    <s v="25-45"/>
    <x v="97"/>
    <x v="1"/>
    <x v="1"/>
    <s v="NO DISCOUNT"/>
    <n v="0"/>
    <n v="3672.92"/>
    <n v="3672.92"/>
    <x v="0"/>
    <x v="7"/>
  </r>
  <r>
    <n v="855553"/>
    <n v="8387972034"/>
    <x v="2"/>
    <s v="25-45"/>
    <x v="98"/>
    <x v="0"/>
    <x v="1"/>
    <s v="NO DISCOUNT"/>
    <n v="0"/>
    <n v="3378.52"/>
    <n v="3378.52"/>
    <x v="0"/>
    <x v="2"/>
  </r>
  <r>
    <n v="626704"/>
    <n v="9044927065"/>
    <x v="0"/>
    <s v="under 18"/>
    <x v="99"/>
    <x v="4"/>
    <x v="0"/>
    <s v="WELCOME5"/>
    <n v="385.33"/>
    <n v="4398.7299999999996"/>
    <n v="4013.4"/>
    <x v="0"/>
    <x v="6"/>
  </r>
  <r>
    <n v="773003"/>
    <n v="6746823325"/>
    <x v="2"/>
    <s v="18-25"/>
    <x v="100"/>
    <x v="0"/>
    <x v="1"/>
    <s v="NO DISCOUNT"/>
    <n v="0"/>
    <n v="4124.59"/>
    <n v="4124.59"/>
    <x v="6"/>
    <x v="8"/>
  </r>
  <r>
    <n v="930924"/>
    <n v="4986444967"/>
    <x v="1"/>
    <s v="18-25"/>
    <x v="101"/>
    <x v="3"/>
    <x v="1"/>
    <s v="NO DISCOUNT"/>
    <n v="0"/>
    <n v="5960.12"/>
    <n v="5960.12"/>
    <x v="1"/>
    <x v="1"/>
  </r>
  <r>
    <n v="245117"/>
    <n v="8769564683"/>
    <x v="2"/>
    <s v="18-25"/>
    <x v="78"/>
    <x v="1"/>
    <x v="1"/>
    <s v="NO DISCOUNT"/>
    <n v="0"/>
    <n v="3542.02"/>
    <n v="3542.02"/>
    <x v="1"/>
    <x v="11"/>
  </r>
  <r>
    <n v="320914"/>
    <n v="5991402847"/>
    <x v="2"/>
    <s v="25-45"/>
    <x v="102"/>
    <x v="0"/>
    <x v="1"/>
    <s v="NO DISCOUNT"/>
    <n v="0"/>
    <n v="3787.25"/>
    <n v="3787.25"/>
    <x v="6"/>
    <x v="11"/>
  </r>
  <r>
    <n v="547287"/>
    <n v="6879477858"/>
    <x v="2"/>
    <s v="45-60"/>
    <x v="103"/>
    <x v="0"/>
    <x v="1"/>
    <s v="NO DISCOUNT"/>
    <n v="0"/>
    <n v="4829.16"/>
    <n v="4829.16"/>
    <x v="7"/>
    <x v="4"/>
  </r>
  <r>
    <n v="895810"/>
    <n v="4276582879"/>
    <x v="1"/>
    <s v="25-45"/>
    <x v="70"/>
    <x v="5"/>
    <x v="1"/>
    <s v="NO DISCOUNT"/>
    <n v="0"/>
    <n v="3283.63"/>
    <n v="3283.63"/>
    <x v="0"/>
    <x v="1"/>
  </r>
  <r>
    <n v="252895"/>
    <n v="3822476306"/>
    <x v="0"/>
    <s v="45-60"/>
    <x v="104"/>
    <x v="0"/>
    <x v="0"/>
    <s v="FESTIVE50"/>
    <n v="335.93"/>
    <n v="2761.96"/>
    <n v="2426.0300000000002"/>
    <x v="0"/>
    <x v="7"/>
  </r>
  <r>
    <n v="422122"/>
    <n v="6545303811"/>
    <x v="1"/>
    <s v="under 18"/>
    <x v="105"/>
    <x v="0"/>
    <x v="0"/>
    <s v="NEWYEARS"/>
    <n v="449.27"/>
    <n v="888.77"/>
    <n v="439.5"/>
    <x v="0"/>
    <x v="3"/>
  </r>
  <r>
    <n v="952444"/>
    <n v="4998260109"/>
    <x v="1"/>
    <s v="25-45"/>
    <x v="106"/>
    <x v="8"/>
    <x v="0"/>
    <s v="WELCOME5"/>
    <n v="344.71"/>
    <n v="3962.77"/>
    <n v="3618.06"/>
    <x v="4"/>
    <x v="7"/>
  </r>
  <r>
    <n v="992466"/>
    <n v="4480771051"/>
    <x v="2"/>
    <s v="18-25"/>
    <x v="107"/>
    <x v="0"/>
    <x v="0"/>
    <s v="WELCOME5"/>
    <n v="94.71"/>
    <n v="4127.22"/>
    <n v="4032.51"/>
    <x v="4"/>
    <x v="1"/>
  </r>
  <r>
    <n v="635824"/>
    <n v="2661614934"/>
    <x v="2"/>
    <s v="18-25"/>
    <x v="108"/>
    <x v="6"/>
    <x v="1"/>
    <s v="NO DISCOUNT"/>
    <n v="0"/>
    <n v="530.70000000000005"/>
    <n v="530.70000000000005"/>
    <x v="0"/>
    <x v="13"/>
  </r>
  <r>
    <n v="245608"/>
    <n v="2200589997"/>
    <x v="1"/>
    <s v="45-60"/>
    <x v="109"/>
    <x v="6"/>
    <x v="0"/>
    <s v="SAVE10"/>
    <n v="142.34"/>
    <n v="5698.36"/>
    <n v="5556.02"/>
    <x v="0"/>
    <x v="2"/>
  </r>
  <r>
    <n v="426612"/>
    <n v="7893855741"/>
    <x v="0"/>
    <s v="18-25"/>
    <x v="110"/>
    <x v="0"/>
    <x v="0"/>
    <s v="NEWYEARS"/>
    <n v="492.81"/>
    <n v="5334.67"/>
    <n v="4841.8599999999997"/>
    <x v="3"/>
    <x v="8"/>
  </r>
  <r>
    <n v="889471"/>
    <n v="5684288373"/>
    <x v="0"/>
    <s v="under 18"/>
    <x v="111"/>
    <x v="0"/>
    <x v="0"/>
    <s v="FESTIVE50"/>
    <n v="57.1"/>
    <n v="1422.66"/>
    <n v="1365.56"/>
    <x v="4"/>
    <x v="8"/>
  </r>
  <r>
    <n v="874205"/>
    <n v="5721065724"/>
    <x v="2"/>
    <s v="25-45"/>
    <x v="112"/>
    <x v="6"/>
    <x v="0"/>
    <s v="SEASONALOFFER21"/>
    <n v="149.69999999999999"/>
    <n v="3423.1"/>
    <n v="3273.4"/>
    <x v="4"/>
    <x v="4"/>
  </r>
  <r>
    <n v="180069"/>
    <n v="5085709956"/>
    <x v="0"/>
    <s v="60 and above"/>
    <x v="113"/>
    <x v="6"/>
    <x v="1"/>
    <s v="NO DISCOUNT"/>
    <n v="0"/>
    <n v="4746.88"/>
    <n v="4746.88"/>
    <x v="0"/>
    <x v="6"/>
  </r>
  <r>
    <n v="916979"/>
    <n v="4561474064"/>
    <x v="2"/>
    <s v="18-25"/>
    <x v="114"/>
    <x v="1"/>
    <x v="0"/>
    <s v="NEWYEARS"/>
    <n v="334.88"/>
    <n v="3933.34"/>
    <n v="3598.46"/>
    <x v="3"/>
    <x v="8"/>
  </r>
  <r>
    <n v="424785"/>
    <n v="2297232532"/>
    <x v="1"/>
    <s v="25-45"/>
    <x v="115"/>
    <x v="6"/>
    <x v="0"/>
    <s v="WELCOME5"/>
    <n v="342.91"/>
    <n v="4422.6000000000004"/>
    <n v="4079.69"/>
    <x v="0"/>
    <x v="1"/>
  </r>
  <r>
    <n v="397158"/>
    <n v="5807028205"/>
    <x v="1"/>
    <s v="45-60"/>
    <x v="116"/>
    <x v="4"/>
    <x v="0"/>
    <s v="SEASONALOFFER21"/>
    <n v="190.64"/>
    <n v="1677.33"/>
    <n v="1486.69"/>
    <x v="1"/>
    <x v="2"/>
  </r>
  <r>
    <n v="628027"/>
    <n v="3535492230"/>
    <x v="2"/>
    <s v="18-25"/>
    <x v="117"/>
    <x v="1"/>
    <x v="1"/>
    <s v="NO DISCOUNT"/>
    <n v="0"/>
    <n v="4659.2700000000004"/>
    <n v="4659.2700000000004"/>
    <x v="0"/>
    <x v="1"/>
  </r>
  <r>
    <n v="133919"/>
    <n v="6196549896"/>
    <x v="0"/>
    <s v="25-45"/>
    <x v="118"/>
    <x v="8"/>
    <x v="1"/>
    <s v="NO DISCOUNT"/>
    <n v="0"/>
    <n v="4796.28"/>
    <n v="4796.28"/>
    <x v="1"/>
    <x v="1"/>
  </r>
  <r>
    <n v="963355"/>
    <n v="2701730832"/>
    <x v="2"/>
    <s v="25-45"/>
    <x v="119"/>
    <x v="6"/>
    <x v="1"/>
    <s v="NO DISCOUNT"/>
    <n v="0"/>
    <n v="1429.42"/>
    <n v="1429.42"/>
    <x v="0"/>
    <x v="2"/>
  </r>
  <r>
    <n v="194545"/>
    <n v="8814292341"/>
    <x v="1"/>
    <s v="18-25"/>
    <x v="120"/>
    <x v="6"/>
    <x v="1"/>
    <s v="NO DISCOUNT"/>
    <n v="0"/>
    <n v="5948.6"/>
    <n v="5948.6"/>
    <x v="0"/>
    <x v="2"/>
  </r>
  <r>
    <n v="832140"/>
    <n v="5171171195"/>
    <x v="0"/>
    <s v="18-25"/>
    <x v="121"/>
    <x v="3"/>
    <x v="1"/>
    <s v="NO DISCOUNT"/>
    <n v="0"/>
    <n v="5092.95"/>
    <n v="5092.95"/>
    <x v="6"/>
    <x v="8"/>
  </r>
  <r>
    <n v="239685"/>
    <n v="4603484116"/>
    <x v="0"/>
    <s v="25-45"/>
    <x v="122"/>
    <x v="4"/>
    <x v="0"/>
    <s v="NEWYEARS"/>
    <n v="288.72000000000003"/>
    <n v="2591.58"/>
    <n v="2302.86"/>
    <x v="1"/>
    <x v="8"/>
  </r>
  <r>
    <n v="819100"/>
    <n v="5488918077"/>
    <x v="1"/>
    <s v="45-60"/>
    <x v="123"/>
    <x v="1"/>
    <x v="0"/>
    <s v="WELCOME5"/>
    <n v="120.01"/>
    <n v="4523.2"/>
    <n v="4403.1899999999996"/>
    <x v="4"/>
    <x v="7"/>
  </r>
  <r>
    <n v="891401"/>
    <n v="8822525355"/>
    <x v="2"/>
    <s v="25-45"/>
    <x v="43"/>
    <x v="0"/>
    <x v="1"/>
    <s v="NO DISCOUNT"/>
    <n v="0"/>
    <n v="1315.06"/>
    <n v="1315.06"/>
    <x v="4"/>
    <x v="1"/>
  </r>
  <r>
    <n v="130791"/>
    <n v="1794339400"/>
    <x v="0"/>
    <s v="25-45"/>
    <x v="124"/>
    <x v="1"/>
    <x v="1"/>
    <s v="NO DISCOUNT"/>
    <n v="0"/>
    <n v="330.47"/>
    <n v="330.47"/>
    <x v="0"/>
    <x v="1"/>
  </r>
  <r>
    <n v="948027"/>
    <n v="2795239854"/>
    <x v="2"/>
    <s v="45-60"/>
    <x v="125"/>
    <x v="0"/>
    <x v="1"/>
    <s v="NO DISCOUNT"/>
    <n v="0"/>
    <n v="2039.39"/>
    <n v="2039.39"/>
    <x v="0"/>
    <x v="4"/>
  </r>
  <r>
    <n v="326387"/>
    <n v="1209375126"/>
    <x v="0"/>
    <s v="25-45"/>
    <x v="126"/>
    <x v="2"/>
    <x v="1"/>
    <s v="NO DISCOUNT"/>
    <n v="0"/>
    <n v="624.46"/>
    <n v="624.46"/>
    <x v="0"/>
    <x v="4"/>
  </r>
  <r>
    <n v="904214"/>
    <n v="2045904610"/>
    <x v="1"/>
    <s v="18-25"/>
    <x v="127"/>
    <x v="1"/>
    <x v="1"/>
    <s v="NO DISCOUNT"/>
    <n v="0"/>
    <n v="5368.65"/>
    <n v="5368.65"/>
    <x v="0"/>
    <x v="1"/>
  </r>
  <r>
    <n v="146266"/>
    <n v="3658564061"/>
    <x v="0"/>
    <s v="18-25"/>
    <x v="128"/>
    <x v="1"/>
    <x v="1"/>
    <s v="NO DISCOUNT"/>
    <n v="0"/>
    <n v="6529.11"/>
    <n v="6529.11"/>
    <x v="7"/>
    <x v="10"/>
  </r>
  <r>
    <n v="634256"/>
    <n v="7889966457"/>
    <x v="0"/>
    <s v="25-45"/>
    <x v="129"/>
    <x v="4"/>
    <x v="1"/>
    <s v="NO DISCOUNT"/>
    <n v="0"/>
    <n v="4131.58"/>
    <n v="4131.58"/>
    <x v="0"/>
    <x v="1"/>
  </r>
  <r>
    <n v="264603"/>
    <n v="3592883858"/>
    <x v="0"/>
    <s v="25-45"/>
    <x v="130"/>
    <x v="5"/>
    <x v="0"/>
    <s v="WELCOME5"/>
    <n v="207.22"/>
    <n v="3861.68"/>
    <n v="3654.46"/>
    <x v="0"/>
    <x v="1"/>
  </r>
  <r>
    <n v="915437"/>
    <n v="9839621789"/>
    <x v="0"/>
    <s v="25-45"/>
    <x v="131"/>
    <x v="0"/>
    <x v="0"/>
    <s v="NEWYEARS"/>
    <n v="397.78"/>
    <n v="3310.41"/>
    <n v="2912.63"/>
    <x v="0"/>
    <x v="4"/>
  </r>
  <r>
    <n v="983678"/>
    <n v="6762092117"/>
    <x v="2"/>
    <s v="25-45"/>
    <x v="132"/>
    <x v="1"/>
    <x v="1"/>
    <s v="NO DISCOUNT"/>
    <n v="0"/>
    <n v="4102.8100000000004"/>
    <n v="4102.8100000000004"/>
    <x v="2"/>
    <x v="7"/>
  </r>
  <r>
    <n v="326533"/>
    <n v="2618270081"/>
    <x v="0"/>
    <s v="18-25"/>
    <x v="94"/>
    <x v="0"/>
    <x v="0"/>
    <s v="SEASONALOFFER21"/>
    <n v="83.39"/>
    <n v="2628.4"/>
    <n v="2545.0100000000002"/>
    <x v="1"/>
    <x v="2"/>
  </r>
  <r>
    <n v="208699"/>
    <n v="8909982624"/>
    <x v="0"/>
    <s v="45-60"/>
    <x v="133"/>
    <x v="4"/>
    <x v="1"/>
    <s v="NO DISCOUNT"/>
    <n v="0"/>
    <n v="3854.58"/>
    <n v="3854.58"/>
    <x v="0"/>
    <x v="6"/>
  </r>
  <r>
    <n v="898112"/>
    <n v="8202725858"/>
    <x v="2"/>
    <s v="45-60"/>
    <x v="134"/>
    <x v="2"/>
    <x v="0"/>
    <s v="SEASONALOFFER21"/>
    <n v="264.02999999999997"/>
    <n v="1375.42"/>
    <n v="1111.3900000000001"/>
    <x v="0"/>
    <x v="7"/>
  </r>
  <r>
    <n v="990429"/>
    <n v="9864771002"/>
    <x v="1"/>
    <s v="60 and above"/>
    <x v="135"/>
    <x v="4"/>
    <x v="0"/>
    <s v="NEWYEARS"/>
    <n v="368.43"/>
    <n v="7409.64"/>
    <n v="7041.21"/>
    <x v="6"/>
    <x v="8"/>
  </r>
  <r>
    <n v="160329"/>
    <n v="7870668249"/>
    <x v="1"/>
    <s v="18-25"/>
    <x v="136"/>
    <x v="0"/>
    <x v="1"/>
    <s v="NO DISCOUNT"/>
    <n v="0"/>
    <n v="3614.78"/>
    <n v="3614.78"/>
    <x v="0"/>
    <x v="1"/>
  </r>
  <r>
    <n v="533649"/>
    <n v="8417812693"/>
    <x v="2"/>
    <s v="18-25"/>
    <x v="137"/>
    <x v="6"/>
    <x v="1"/>
    <s v="NO DISCOUNT"/>
    <n v="0"/>
    <n v="1715.23"/>
    <n v="1715.23"/>
    <x v="0"/>
    <x v="0"/>
  </r>
  <r>
    <n v="190674"/>
    <n v="1612576201"/>
    <x v="1"/>
    <s v="18-25"/>
    <x v="138"/>
    <x v="6"/>
    <x v="1"/>
    <s v="NO DISCOUNT"/>
    <n v="0"/>
    <n v="814.19"/>
    <n v="814.19"/>
    <x v="0"/>
    <x v="13"/>
  </r>
  <r>
    <n v="794530"/>
    <n v="8643478669"/>
    <x v="0"/>
    <s v="45-60"/>
    <x v="139"/>
    <x v="1"/>
    <x v="0"/>
    <s v="FESTIVE50"/>
    <n v="240.53"/>
    <n v="1885.82"/>
    <n v="1645.29"/>
    <x v="5"/>
    <x v="0"/>
  </r>
  <r>
    <n v="249119"/>
    <n v="2006451779"/>
    <x v="0"/>
    <s v="45-60"/>
    <x v="140"/>
    <x v="8"/>
    <x v="0"/>
    <s v="NEWYEARS"/>
    <n v="183.11"/>
    <n v="6395.53"/>
    <n v="6212.42"/>
    <x v="0"/>
    <x v="8"/>
  </r>
  <r>
    <n v="140970"/>
    <n v="7308117627"/>
    <x v="2"/>
    <s v="under 18"/>
    <x v="141"/>
    <x v="4"/>
    <x v="0"/>
    <s v="FESTIVE50"/>
    <n v="119.41"/>
    <n v="1283.8800000000001"/>
    <n v="1164.47"/>
    <x v="3"/>
    <x v="2"/>
  </r>
  <r>
    <n v="621091"/>
    <n v="4300165020"/>
    <x v="2"/>
    <s v="25-45"/>
    <x v="142"/>
    <x v="0"/>
    <x v="1"/>
    <s v="NO DISCOUNT"/>
    <n v="0"/>
    <n v="3713.62"/>
    <n v="3713.62"/>
    <x v="0"/>
    <x v="13"/>
  </r>
  <r>
    <n v="422662"/>
    <n v="6718738908"/>
    <x v="0"/>
    <s v="45-60"/>
    <x v="143"/>
    <x v="0"/>
    <x v="0"/>
    <s v="SEASONALOFFER21"/>
    <n v="476.21"/>
    <n v="5380.05"/>
    <n v="4903.84"/>
    <x v="7"/>
    <x v="9"/>
  </r>
  <r>
    <n v="543785"/>
    <n v="6347504201"/>
    <x v="2"/>
    <s v="25-45"/>
    <x v="144"/>
    <x v="5"/>
    <x v="0"/>
    <s v="SAVE10"/>
    <n v="112.28"/>
    <n v="1498.77"/>
    <n v="1386.49"/>
    <x v="1"/>
    <x v="8"/>
  </r>
  <r>
    <n v="885314"/>
    <n v="8545986937"/>
    <x v="2"/>
    <s v="45-60"/>
    <x v="145"/>
    <x v="6"/>
    <x v="1"/>
    <s v="NO DISCOUNT"/>
    <n v="0"/>
    <n v="612.47"/>
    <n v="612.47"/>
    <x v="0"/>
    <x v="6"/>
  </r>
  <r>
    <n v="803175"/>
    <n v="9934732205"/>
    <x v="0"/>
    <s v="25-45"/>
    <x v="26"/>
    <x v="3"/>
    <x v="0"/>
    <s v="SAVE10"/>
    <n v="448.08"/>
    <n v="5035.8100000000004"/>
    <n v="4587.7299999999996"/>
    <x v="0"/>
    <x v="10"/>
  </r>
  <r>
    <n v="797453"/>
    <n v="9478415511"/>
    <x v="0"/>
    <s v="60 and above"/>
    <x v="146"/>
    <x v="6"/>
    <x v="0"/>
    <s v="SEASONALOFFER21"/>
    <n v="94.59"/>
    <n v="4339.58"/>
    <n v="4244.99"/>
    <x v="0"/>
    <x v="2"/>
  </r>
  <r>
    <n v="567593"/>
    <n v="9457634418"/>
    <x v="2"/>
    <s v="45-60"/>
    <x v="147"/>
    <x v="0"/>
    <x v="0"/>
    <s v="SAVE10"/>
    <n v="261.10000000000002"/>
    <n v="3761.33"/>
    <n v="3500.23"/>
    <x v="0"/>
    <x v="0"/>
  </r>
  <r>
    <n v="552275"/>
    <n v="2460208715"/>
    <x v="0"/>
    <s v="45-60"/>
    <x v="148"/>
    <x v="0"/>
    <x v="1"/>
    <s v="NO DISCOUNT"/>
    <n v="0"/>
    <n v="792.65"/>
    <n v="792.65"/>
    <x v="0"/>
    <x v="7"/>
  </r>
  <r>
    <n v="246327"/>
    <n v="2795684935"/>
    <x v="0"/>
    <s v="25-45"/>
    <x v="149"/>
    <x v="0"/>
    <x v="0"/>
    <s v="NEWYEARS"/>
    <n v="457.32"/>
    <n v="3516.03"/>
    <n v="3058.71"/>
    <x v="0"/>
    <x v="7"/>
  </r>
  <r>
    <n v="718226"/>
    <n v="3471747857"/>
    <x v="1"/>
    <s v="18-25"/>
    <x v="150"/>
    <x v="6"/>
    <x v="1"/>
    <s v="NO DISCOUNT"/>
    <n v="0"/>
    <n v="1481.33"/>
    <n v="1481.33"/>
    <x v="4"/>
    <x v="8"/>
  </r>
  <r>
    <n v="164506"/>
    <n v="6674305390"/>
    <x v="0"/>
    <s v="25-45"/>
    <x v="151"/>
    <x v="2"/>
    <x v="0"/>
    <s v="SEASONALOFFER21"/>
    <n v="261.56"/>
    <n v="4041.25"/>
    <n v="3779.69"/>
    <x v="1"/>
    <x v="12"/>
  </r>
  <r>
    <n v="423365"/>
    <n v="5530950213"/>
    <x v="0"/>
    <s v="18-25"/>
    <x v="152"/>
    <x v="0"/>
    <x v="0"/>
    <s v="SAVE10"/>
    <n v="380.83"/>
    <n v="1850.86"/>
    <n v="1470.03"/>
    <x v="5"/>
    <x v="4"/>
  </r>
  <r>
    <n v="483366"/>
    <n v="3684129433"/>
    <x v="1"/>
    <s v="45-60"/>
    <x v="153"/>
    <x v="1"/>
    <x v="1"/>
    <s v="NO DISCOUNT"/>
    <n v="0"/>
    <n v="3181.78"/>
    <n v="3181.78"/>
    <x v="1"/>
    <x v="0"/>
  </r>
  <r>
    <n v="910326"/>
    <n v="1567130806"/>
    <x v="0"/>
    <s v="18-25"/>
    <x v="154"/>
    <x v="5"/>
    <x v="0"/>
    <s v="WELCOME5"/>
    <n v="192.02"/>
    <n v="1736.56"/>
    <n v="1544.54"/>
    <x v="1"/>
    <x v="8"/>
  </r>
  <r>
    <n v="619829"/>
    <n v="3899843526"/>
    <x v="2"/>
    <s v="45-60"/>
    <x v="155"/>
    <x v="6"/>
    <x v="1"/>
    <s v="NO DISCOUNT"/>
    <n v="0"/>
    <n v="4677.88"/>
    <n v="4677.88"/>
    <x v="0"/>
    <x v="8"/>
  </r>
  <r>
    <n v="858243"/>
    <n v="9277952079"/>
    <x v="2"/>
    <s v="25-45"/>
    <x v="156"/>
    <x v="1"/>
    <x v="1"/>
    <s v="NO DISCOUNT"/>
    <n v="0"/>
    <n v="6284.59"/>
    <n v="6284.59"/>
    <x v="0"/>
    <x v="6"/>
  </r>
  <r>
    <n v="121715"/>
    <n v="8842204961"/>
    <x v="1"/>
    <s v="25-45"/>
    <x v="157"/>
    <x v="0"/>
    <x v="1"/>
    <s v="NO DISCOUNT"/>
    <n v="0"/>
    <n v="4842.68"/>
    <n v="4842.68"/>
    <x v="4"/>
    <x v="11"/>
  </r>
  <r>
    <n v="772322"/>
    <n v="6173278546"/>
    <x v="0"/>
    <s v="25-45"/>
    <x v="158"/>
    <x v="6"/>
    <x v="0"/>
    <s v="SEASONALOFFER21"/>
    <n v="183.04"/>
    <n v="2798.35"/>
    <n v="2615.31"/>
    <x v="6"/>
    <x v="2"/>
  </r>
  <r>
    <n v="854675"/>
    <n v="1581896260"/>
    <x v="0"/>
    <s v="25-45"/>
    <x v="159"/>
    <x v="1"/>
    <x v="1"/>
    <s v="NO DISCOUNT"/>
    <n v="0"/>
    <n v="1629.75"/>
    <n v="1629.75"/>
    <x v="1"/>
    <x v="9"/>
  </r>
  <r>
    <n v="558320"/>
    <n v="8232533158"/>
    <x v="0"/>
    <s v="45-60"/>
    <x v="160"/>
    <x v="6"/>
    <x v="0"/>
    <s v="NEWYEARS"/>
    <n v="323.41000000000003"/>
    <n v="4549.96"/>
    <n v="4226.55"/>
    <x v="0"/>
    <x v="0"/>
  </r>
  <r>
    <n v="826501"/>
    <n v="7610603526"/>
    <x v="0"/>
    <s v="25-45"/>
    <x v="161"/>
    <x v="0"/>
    <x v="0"/>
    <s v="FESTIVE50"/>
    <n v="355.58"/>
    <n v="6236.72"/>
    <n v="5881.14"/>
    <x v="1"/>
    <x v="10"/>
  </r>
  <r>
    <n v="880823"/>
    <n v="1667061516"/>
    <x v="1"/>
    <s v="25-45"/>
    <x v="162"/>
    <x v="0"/>
    <x v="1"/>
    <s v="NO DISCOUNT"/>
    <n v="0"/>
    <n v="1857.25"/>
    <n v="1857.25"/>
    <x v="0"/>
    <x v="2"/>
  </r>
  <r>
    <n v="156440"/>
    <n v="8389326831"/>
    <x v="0"/>
    <s v="45-60"/>
    <x v="163"/>
    <x v="0"/>
    <x v="1"/>
    <s v="NO DISCOUNT"/>
    <n v="0"/>
    <n v="4010.15"/>
    <n v="4010.15"/>
    <x v="1"/>
    <x v="8"/>
  </r>
  <r>
    <n v="435169"/>
    <n v="6873944495"/>
    <x v="2"/>
    <s v="25-45"/>
    <x v="164"/>
    <x v="0"/>
    <x v="0"/>
    <s v="SEASONALOFFER21"/>
    <n v="454.41"/>
    <n v="2539.67"/>
    <n v="2085.2600000000002"/>
    <x v="2"/>
    <x v="8"/>
  </r>
  <r>
    <n v="578073"/>
    <n v="9210323216"/>
    <x v="2"/>
    <s v="25-45"/>
    <x v="165"/>
    <x v="7"/>
    <x v="1"/>
    <s v="NO DISCOUNT"/>
    <n v="0"/>
    <n v="4226.95"/>
    <n v="4226.95"/>
    <x v="7"/>
    <x v="4"/>
  </r>
  <r>
    <n v="129824"/>
    <n v="5651992539"/>
    <x v="2"/>
    <s v="45-60"/>
    <x v="166"/>
    <x v="3"/>
    <x v="0"/>
    <s v="WELCOME5"/>
    <n v="406.43"/>
    <n v="1285.19"/>
    <n v="878.76"/>
    <x v="1"/>
    <x v="1"/>
  </r>
  <r>
    <n v="647427"/>
    <n v="7898894409"/>
    <x v="0"/>
    <s v="45-60"/>
    <x v="167"/>
    <x v="6"/>
    <x v="0"/>
    <s v="NEWYEARS"/>
    <n v="229.17"/>
    <n v="3989.84"/>
    <n v="3760.67"/>
    <x v="0"/>
    <x v="7"/>
  </r>
  <r>
    <n v="521761"/>
    <n v="1092657277"/>
    <x v="1"/>
    <s v="18-25"/>
    <x v="168"/>
    <x v="5"/>
    <x v="0"/>
    <s v="SEASONALOFFER21"/>
    <n v="356.05"/>
    <n v="2549.2600000000002"/>
    <n v="2193.21"/>
    <x v="6"/>
    <x v="5"/>
  </r>
  <r>
    <n v="651752"/>
    <n v="6346552300"/>
    <x v="1"/>
    <s v="25-45"/>
    <x v="169"/>
    <x v="0"/>
    <x v="0"/>
    <s v="SAVE10"/>
    <n v="283.14999999999998"/>
    <n v="1681.88"/>
    <n v="1398.73"/>
    <x v="7"/>
    <x v="9"/>
  </r>
  <r>
    <n v="559337"/>
    <n v="3993121885"/>
    <x v="0"/>
    <s v="45-60"/>
    <x v="170"/>
    <x v="2"/>
    <x v="0"/>
    <s v="NEWYEARS"/>
    <n v="335.78"/>
    <n v="3414.11"/>
    <n v="3078.33"/>
    <x v="0"/>
    <x v="6"/>
  </r>
  <r>
    <n v="657381"/>
    <n v="1314175063"/>
    <x v="1"/>
    <s v="25-45"/>
    <x v="171"/>
    <x v="6"/>
    <x v="0"/>
    <s v="NEWYEARS"/>
    <n v="331.02"/>
    <n v="6651.31"/>
    <n v="6320.29"/>
    <x v="0"/>
    <x v="7"/>
  </r>
  <r>
    <n v="821715"/>
    <n v="6410168846"/>
    <x v="2"/>
    <s v="under 18"/>
    <x v="148"/>
    <x v="6"/>
    <x v="1"/>
    <s v="NO DISCOUNT"/>
    <n v="0"/>
    <n v="3804.18"/>
    <n v="3804.18"/>
    <x v="6"/>
    <x v="8"/>
  </r>
  <r>
    <n v="118415"/>
    <n v="8951945984"/>
    <x v="1"/>
    <s v="25-45"/>
    <x v="172"/>
    <x v="6"/>
    <x v="1"/>
    <s v="NO DISCOUNT"/>
    <n v="0"/>
    <n v="4012.57"/>
    <n v="4012.57"/>
    <x v="1"/>
    <x v="2"/>
  </r>
  <r>
    <n v="285938"/>
    <n v="3631121893"/>
    <x v="0"/>
    <s v="25-45"/>
    <x v="173"/>
    <x v="0"/>
    <x v="0"/>
    <s v="SEASONALOFFER21"/>
    <n v="114.65"/>
    <n v="4999.07"/>
    <n v="4884.42"/>
    <x v="0"/>
    <x v="1"/>
  </r>
  <r>
    <n v="661365"/>
    <n v="9464945840"/>
    <x v="2"/>
    <s v="18-25"/>
    <x v="174"/>
    <x v="4"/>
    <x v="0"/>
    <s v="SEASONALOFFER21"/>
    <n v="259.91000000000003"/>
    <n v="1809.05"/>
    <n v="1549.14"/>
    <x v="7"/>
    <x v="2"/>
  </r>
  <r>
    <n v="737433"/>
    <n v="8359880081"/>
    <x v="0"/>
    <s v="45-60"/>
    <x v="175"/>
    <x v="0"/>
    <x v="0"/>
    <s v="SAVE10"/>
    <n v="470.19"/>
    <n v="3829.84"/>
    <n v="3359.65"/>
    <x v="2"/>
    <x v="1"/>
  </r>
  <r>
    <n v="815234"/>
    <n v="3378313269"/>
    <x v="2"/>
    <s v="25-45"/>
    <x v="176"/>
    <x v="1"/>
    <x v="0"/>
    <s v="NEWYEARS"/>
    <n v="226.96"/>
    <n v="3977.52"/>
    <n v="3750.56"/>
    <x v="1"/>
    <x v="2"/>
  </r>
  <r>
    <n v="308205"/>
    <n v="7067648660"/>
    <x v="0"/>
    <s v="25-45"/>
    <x v="177"/>
    <x v="1"/>
    <x v="1"/>
    <s v="NO DISCOUNT"/>
    <n v="0"/>
    <n v="1727.87"/>
    <n v="1727.87"/>
    <x v="0"/>
    <x v="6"/>
  </r>
  <r>
    <n v="750810"/>
    <n v="9527364106"/>
    <x v="2"/>
    <s v="25-45"/>
    <x v="178"/>
    <x v="1"/>
    <x v="1"/>
    <s v="NO DISCOUNT"/>
    <n v="0"/>
    <n v="365.74"/>
    <n v="365.74"/>
    <x v="3"/>
    <x v="4"/>
  </r>
  <r>
    <n v="287143"/>
    <n v="1598980635"/>
    <x v="1"/>
    <s v="18-25"/>
    <x v="179"/>
    <x v="0"/>
    <x v="1"/>
    <s v="NO DISCOUNT"/>
    <n v="0"/>
    <n v="3924.36"/>
    <n v="3924.36"/>
    <x v="1"/>
    <x v="1"/>
  </r>
  <r>
    <n v="958835"/>
    <n v="4740049775"/>
    <x v="0"/>
    <s v="60 and above"/>
    <x v="180"/>
    <x v="0"/>
    <x v="1"/>
    <s v="NO DISCOUNT"/>
    <n v="0"/>
    <n v="4116.51"/>
    <n v="4116.51"/>
    <x v="0"/>
    <x v="7"/>
  </r>
  <r>
    <n v="881410"/>
    <n v="8747384224"/>
    <x v="1"/>
    <s v="under 18"/>
    <x v="181"/>
    <x v="1"/>
    <x v="1"/>
    <s v="NO DISCOUNT"/>
    <n v="0"/>
    <n v="2495.29"/>
    <n v="2495.29"/>
    <x v="0"/>
    <x v="4"/>
  </r>
  <r>
    <n v="319770"/>
    <n v="8302858928"/>
    <x v="1"/>
    <s v="25-45"/>
    <x v="182"/>
    <x v="6"/>
    <x v="1"/>
    <s v="NO DISCOUNT"/>
    <n v="0"/>
    <n v="3271.92"/>
    <n v="3271.92"/>
    <x v="0"/>
    <x v="8"/>
  </r>
  <r>
    <n v="872776"/>
    <n v="2257725836"/>
    <x v="2"/>
    <s v="18-25"/>
    <x v="183"/>
    <x v="6"/>
    <x v="1"/>
    <s v="NO DISCOUNT"/>
    <n v="0"/>
    <n v="2107.81"/>
    <n v="2107.81"/>
    <x v="4"/>
    <x v="11"/>
  </r>
  <r>
    <n v="882401"/>
    <n v="9106697363"/>
    <x v="2"/>
    <s v="25-45"/>
    <x v="184"/>
    <x v="6"/>
    <x v="0"/>
    <s v="FESTIVE50"/>
    <n v="169.49"/>
    <n v="3496.1"/>
    <n v="3326.61"/>
    <x v="5"/>
    <x v="0"/>
  </r>
  <r>
    <n v="730970"/>
    <n v="4459519466"/>
    <x v="1"/>
    <s v="18-25"/>
    <x v="185"/>
    <x v="2"/>
    <x v="1"/>
    <s v="NO DISCOUNT"/>
    <n v="0"/>
    <n v="1352.07"/>
    <n v="1352.07"/>
    <x v="1"/>
    <x v="7"/>
  </r>
  <r>
    <n v="813327"/>
    <n v="6496054316"/>
    <x v="0"/>
    <s v="under 18"/>
    <x v="186"/>
    <x v="8"/>
    <x v="0"/>
    <s v="SEASONALOFFER21"/>
    <n v="141.75"/>
    <n v="2971.39"/>
    <n v="2829.64"/>
    <x v="0"/>
    <x v="2"/>
  </r>
  <r>
    <n v="304370"/>
    <n v="6364015307"/>
    <x v="2"/>
    <s v="18-25"/>
    <x v="187"/>
    <x v="2"/>
    <x v="1"/>
    <s v="NO DISCOUNT"/>
    <n v="0"/>
    <n v="6313.49"/>
    <n v="6313.49"/>
    <x v="0"/>
    <x v="2"/>
  </r>
  <r>
    <n v="265326"/>
    <n v="8183939355"/>
    <x v="1"/>
    <s v="45-60"/>
    <x v="188"/>
    <x v="1"/>
    <x v="1"/>
    <s v="NO DISCOUNT"/>
    <n v="0"/>
    <n v="3942.15"/>
    <n v="3942.15"/>
    <x v="0"/>
    <x v="2"/>
  </r>
  <r>
    <n v="931710"/>
    <n v="7059050795"/>
    <x v="1"/>
    <s v="25-45"/>
    <x v="189"/>
    <x v="0"/>
    <x v="1"/>
    <s v="NO DISCOUNT"/>
    <n v="0"/>
    <n v="4619.6099999999997"/>
    <n v="4619.6099999999997"/>
    <x v="0"/>
    <x v="2"/>
  </r>
  <r>
    <n v="167755"/>
    <n v="2829056890"/>
    <x v="2"/>
    <s v="25-45"/>
    <x v="190"/>
    <x v="1"/>
    <x v="1"/>
    <s v="NO DISCOUNT"/>
    <n v="0"/>
    <n v="1445.3"/>
    <n v="1445.3"/>
    <x v="1"/>
    <x v="10"/>
  </r>
  <r>
    <n v="522424"/>
    <n v="1516743556"/>
    <x v="2"/>
    <s v="45-60"/>
    <x v="191"/>
    <x v="1"/>
    <x v="0"/>
    <s v="NEWYEARS"/>
    <n v="179.43"/>
    <n v="4155.63"/>
    <n v="3976.2"/>
    <x v="7"/>
    <x v="12"/>
  </r>
  <r>
    <n v="217314"/>
    <n v="5888058454"/>
    <x v="2"/>
    <s v="18-25"/>
    <x v="192"/>
    <x v="2"/>
    <x v="1"/>
    <s v="NO DISCOUNT"/>
    <n v="0"/>
    <n v="5142.6899999999996"/>
    <n v="5142.6899999999996"/>
    <x v="4"/>
    <x v="11"/>
  </r>
  <r>
    <n v="528736"/>
    <n v="9412010808"/>
    <x v="0"/>
    <s v="18-25"/>
    <x v="193"/>
    <x v="6"/>
    <x v="0"/>
    <s v="FESTIVE50"/>
    <n v="73.62"/>
    <n v="2693.14"/>
    <n v="2619.52"/>
    <x v="1"/>
    <x v="0"/>
  </r>
  <r>
    <n v="399941"/>
    <n v="7732286604"/>
    <x v="0"/>
    <s v="25-45"/>
    <x v="194"/>
    <x v="5"/>
    <x v="1"/>
    <s v="NO DISCOUNT"/>
    <n v="0"/>
    <n v="3432.61"/>
    <n v="3432.61"/>
    <x v="0"/>
    <x v="9"/>
  </r>
  <r>
    <n v="204574"/>
    <n v="9284172847"/>
    <x v="1"/>
    <s v="18-25"/>
    <x v="195"/>
    <x v="0"/>
    <x v="0"/>
    <s v="FESTIVE50"/>
    <n v="154.5"/>
    <n v="3919.26"/>
    <n v="3764.76"/>
    <x v="7"/>
    <x v="7"/>
  </r>
  <r>
    <n v="632280"/>
    <n v="3886938847"/>
    <x v="2"/>
    <s v="18-25"/>
    <x v="196"/>
    <x v="0"/>
    <x v="1"/>
    <s v="NO DISCOUNT"/>
    <n v="0"/>
    <n v="4765.93"/>
    <n v="4765.93"/>
    <x v="3"/>
    <x v="9"/>
  </r>
  <r>
    <n v="898963"/>
    <n v="4289582708"/>
    <x v="2"/>
    <s v="45-60"/>
    <x v="197"/>
    <x v="7"/>
    <x v="0"/>
    <s v="WELCOME5"/>
    <n v="200.77"/>
    <n v="2541.88"/>
    <n v="2341.11"/>
    <x v="2"/>
    <x v="8"/>
  </r>
  <r>
    <n v="693054"/>
    <n v="9056568565"/>
    <x v="1"/>
    <s v="25-45"/>
    <x v="134"/>
    <x v="4"/>
    <x v="0"/>
    <s v="SEASONALOFFER21"/>
    <n v="379"/>
    <n v="5138.92"/>
    <n v="4759.92"/>
    <x v="0"/>
    <x v="2"/>
  </r>
  <r>
    <n v="919304"/>
    <n v="5057274399"/>
    <x v="0"/>
    <s v="25-45"/>
    <x v="198"/>
    <x v="1"/>
    <x v="1"/>
    <s v="NO DISCOUNT"/>
    <n v="0"/>
    <n v="4306.53"/>
    <n v="4306.53"/>
    <x v="0"/>
    <x v="8"/>
  </r>
  <r>
    <n v="998812"/>
    <n v="4015725736"/>
    <x v="0"/>
    <s v="60 and above"/>
    <x v="199"/>
    <x v="1"/>
    <x v="0"/>
    <s v="NEWYEARS"/>
    <n v="222.61"/>
    <n v="2502"/>
    <n v="2279.39"/>
    <x v="0"/>
    <x v="1"/>
  </r>
  <r>
    <n v="815756"/>
    <n v="6220579399"/>
    <x v="2"/>
    <s v="under 18"/>
    <x v="91"/>
    <x v="1"/>
    <x v="0"/>
    <s v="NEWYEARS"/>
    <n v="103.2"/>
    <n v="1695.34"/>
    <n v="1592.14"/>
    <x v="4"/>
    <x v="0"/>
  </r>
  <r>
    <n v="407914"/>
    <n v="4721472104"/>
    <x v="2"/>
    <s v="45-60"/>
    <x v="200"/>
    <x v="3"/>
    <x v="1"/>
    <s v="NO DISCOUNT"/>
    <n v="0"/>
    <n v="2029.22"/>
    <n v="2029.22"/>
    <x v="3"/>
    <x v="0"/>
  </r>
  <r>
    <n v="654654"/>
    <n v="5768474727"/>
    <x v="0"/>
    <s v="25-45"/>
    <x v="201"/>
    <x v="0"/>
    <x v="1"/>
    <s v="NO DISCOUNT"/>
    <n v="0"/>
    <n v="3838.76"/>
    <n v="3838.76"/>
    <x v="0"/>
    <x v="7"/>
  </r>
  <r>
    <n v="723803"/>
    <n v="8115657734"/>
    <x v="2"/>
    <s v="45-60"/>
    <x v="202"/>
    <x v="4"/>
    <x v="0"/>
    <s v="SEASONALOFFER21"/>
    <n v="287.68"/>
    <n v="2095.13"/>
    <n v="1807.45"/>
    <x v="6"/>
    <x v="0"/>
  </r>
  <r>
    <n v="262241"/>
    <n v="1799063485"/>
    <x v="0"/>
    <s v="18-25"/>
    <x v="203"/>
    <x v="4"/>
    <x v="0"/>
    <s v="SEASONALOFFER21"/>
    <n v="284.14999999999998"/>
    <n v="785.14"/>
    <n v="500.99"/>
    <x v="2"/>
    <x v="1"/>
  </r>
  <r>
    <n v="391983"/>
    <n v="7414223131"/>
    <x v="2"/>
    <s v="25-45"/>
    <x v="204"/>
    <x v="1"/>
    <x v="0"/>
    <s v="SEASONALOFFER21"/>
    <n v="255.56"/>
    <n v="537.53"/>
    <n v="281.97000000000003"/>
    <x v="3"/>
    <x v="8"/>
  </r>
  <r>
    <n v="291768"/>
    <n v="4002316191"/>
    <x v="2"/>
    <s v="18-25"/>
    <x v="205"/>
    <x v="1"/>
    <x v="0"/>
    <s v="FESTIVE50"/>
    <n v="70.38"/>
    <n v="1780"/>
    <n v="1709.62"/>
    <x v="0"/>
    <x v="8"/>
  </r>
  <r>
    <n v="502594"/>
    <n v="9206427606"/>
    <x v="1"/>
    <s v="60 and above"/>
    <x v="206"/>
    <x v="0"/>
    <x v="1"/>
    <s v="NO DISCOUNT"/>
    <n v="0"/>
    <n v="3327.48"/>
    <n v="3327.48"/>
    <x v="3"/>
    <x v="1"/>
  </r>
  <r>
    <n v="152906"/>
    <n v="4767633895"/>
    <x v="2"/>
    <s v="25-45"/>
    <x v="127"/>
    <x v="7"/>
    <x v="1"/>
    <s v="NO DISCOUNT"/>
    <n v="0"/>
    <n v="3476.49"/>
    <n v="3476.49"/>
    <x v="1"/>
    <x v="3"/>
  </r>
  <r>
    <n v="918946"/>
    <n v="7527286842"/>
    <x v="1"/>
    <s v="25-45"/>
    <x v="207"/>
    <x v="2"/>
    <x v="1"/>
    <s v="NO DISCOUNT"/>
    <n v="0"/>
    <n v="647.39"/>
    <n v="647.39"/>
    <x v="4"/>
    <x v="0"/>
  </r>
  <r>
    <n v="677219"/>
    <n v="2971198743"/>
    <x v="1"/>
    <s v="45-60"/>
    <x v="208"/>
    <x v="0"/>
    <x v="1"/>
    <s v="NO DISCOUNT"/>
    <n v="0"/>
    <n v="2371.61"/>
    <n v="2371.61"/>
    <x v="7"/>
    <x v="4"/>
  </r>
  <r>
    <n v="991207"/>
    <n v="1575329655"/>
    <x v="1"/>
    <s v="25-45"/>
    <x v="209"/>
    <x v="1"/>
    <x v="0"/>
    <s v="WELCOME5"/>
    <n v="376.26"/>
    <n v="761.8"/>
    <n v="385.54"/>
    <x v="0"/>
    <x v="8"/>
  </r>
  <r>
    <n v="942691"/>
    <n v="2043743521"/>
    <x v="1"/>
    <s v="18-25"/>
    <x v="210"/>
    <x v="8"/>
    <x v="0"/>
    <s v="SEASONALOFFER21"/>
    <n v="352.41"/>
    <n v="4730.6499999999996"/>
    <n v="4378.24"/>
    <x v="3"/>
    <x v="8"/>
  </r>
  <r>
    <n v="917919"/>
    <n v="4783140047"/>
    <x v="2"/>
    <s v="18-25"/>
    <x v="211"/>
    <x v="1"/>
    <x v="0"/>
    <s v="NEWYEARS"/>
    <n v="497.07"/>
    <n v="1282.47"/>
    <n v="785.4"/>
    <x v="0"/>
    <x v="6"/>
  </r>
  <r>
    <n v="778471"/>
    <n v="6453432455"/>
    <x v="0"/>
    <s v="18-25"/>
    <x v="212"/>
    <x v="6"/>
    <x v="0"/>
    <s v="WELCOME5"/>
    <n v="284.56"/>
    <n v="2263.56"/>
    <n v="1979"/>
    <x v="4"/>
    <x v="2"/>
  </r>
  <r>
    <n v="726882"/>
    <n v="6990223148"/>
    <x v="0"/>
    <s v="45-60"/>
    <x v="213"/>
    <x v="8"/>
    <x v="1"/>
    <s v="NO DISCOUNT"/>
    <n v="0"/>
    <n v="2902.8"/>
    <n v="2902.8"/>
    <x v="3"/>
    <x v="7"/>
  </r>
  <r>
    <n v="182868"/>
    <n v="2912407355"/>
    <x v="2"/>
    <s v="45-60"/>
    <x v="214"/>
    <x v="8"/>
    <x v="1"/>
    <s v="NO DISCOUNT"/>
    <n v="0"/>
    <n v="2300.46"/>
    <n v="2300.46"/>
    <x v="4"/>
    <x v="2"/>
  </r>
  <r>
    <n v="517848"/>
    <n v="6141635751"/>
    <x v="1"/>
    <s v="45-60"/>
    <x v="215"/>
    <x v="5"/>
    <x v="0"/>
    <s v="SAVE10"/>
    <n v="461.63"/>
    <n v="3165.33"/>
    <n v="2703.7"/>
    <x v="1"/>
    <x v="2"/>
  </r>
  <r>
    <n v="163238"/>
    <n v="3881503651"/>
    <x v="1"/>
    <s v="18-25"/>
    <x v="216"/>
    <x v="0"/>
    <x v="1"/>
    <s v="NO DISCOUNT"/>
    <n v="0"/>
    <n v="4524.76"/>
    <n v="4524.76"/>
    <x v="0"/>
    <x v="7"/>
  </r>
  <r>
    <n v="768507"/>
    <n v="2831109959"/>
    <x v="1"/>
    <s v="25-45"/>
    <x v="217"/>
    <x v="4"/>
    <x v="0"/>
    <s v="WELCOME5"/>
    <n v="134.66999999999999"/>
    <n v="4228.6499999999996"/>
    <n v="4093.98"/>
    <x v="0"/>
    <x v="7"/>
  </r>
  <r>
    <n v="659358"/>
    <n v="1484574281"/>
    <x v="0"/>
    <s v="18-25"/>
    <x v="218"/>
    <x v="0"/>
    <x v="0"/>
    <s v="WELCOME5"/>
    <n v="482.93"/>
    <n v="981.41"/>
    <n v="498.48"/>
    <x v="2"/>
    <x v="9"/>
  </r>
  <r>
    <n v="901054"/>
    <n v="4545243483"/>
    <x v="2"/>
    <s v="25-45"/>
    <x v="219"/>
    <x v="2"/>
    <x v="1"/>
    <s v="NO DISCOUNT"/>
    <n v="0"/>
    <n v="5475.74"/>
    <n v="5475.74"/>
    <x v="4"/>
    <x v="2"/>
  </r>
  <r>
    <n v="319226"/>
    <n v="4612117088"/>
    <x v="1"/>
    <s v="25-45"/>
    <x v="220"/>
    <x v="6"/>
    <x v="1"/>
    <s v="NO DISCOUNT"/>
    <n v="0"/>
    <n v="667.52"/>
    <n v="667.52"/>
    <x v="0"/>
    <x v="6"/>
  </r>
  <r>
    <n v="540536"/>
    <n v="9238201923"/>
    <x v="2"/>
    <s v="18-25"/>
    <x v="221"/>
    <x v="1"/>
    <x v="0"/>
    <s v="SAVE10"/>
    <n v="57.3"/>
    <n v="3272.76"/>
    <n v="3215.46"/>
    <x v="0"/>
    <x v="8"/>
  </r>
  <r>
    <n v="676010"/>
    <n v="3332755849"/>
    <x v="1"/>
    <s v="18-25"/>
    <x v="222"/>
    <x v="1"/>
    <x v="0"/>
    <s v="SEASONALOFFER21"/>
    <n v="344.57"/>
    <n v="3436.79"/>
    <n v="3092.22"/>
    <x v="0"/>
    <x v="2"/>
  </r>
  <r>
    <n v="188771"/>
    <n v="6207717733"/>
    <x v="2"/>
    <s v="25-45"/>
    <x v="26"/>
    <x v="1"/>
    <x v="1"/>
    <s v="NO DISCOUNT"/>
    <n v="0"/>
    <n v="1048.6199999999999"/>
    <n v="1048.6199999999999"/>
    <x v="4"/>
    <x v="1"/>
  </r>
  <r>
    <n v="325391"/>
    <n v="2636492787"/>
    <x v="1"/>
    <s v="25-45"/>
    <x v="223"/>
    <x v="3"/>
    <x v="0"/>
    <s v="SAVE10"/>
    <n v="83.45"/>
    <n v="4631.9399999999996"/>
    <n v="4548.49"/>
    <x v="1"/>
    <x v="8"/>
  </r>
  <r>
    <n v="929179"/>
    <n v="7036454899"/>
    <x v="2"/>
    <s v="18-25"/>
    <x v="224"/>
    <x v="1"/>
    <x v="0"/>
    <s v="NEWYEARS"/>
    <n v="255.2"/>
    <n v="418.81"/>
    <n v="163.61000000000001"/>
    <x v="6"/>
    <x v="4"/>
  </r>
  <r>
    <n v="678971"/>
    <n v="3994931671"/>
    <x v="1"/>
    <s v="25-45"/>
    <x v="225"/>
    <x v="0"/>
    <x v="1"/>
    <s v="NO DISCOUNT"/>
    <n v="0"/>
    <n v="4424.8100000000004"/>
    <n v="4424.8100000000004"/>
    <x v="1"/>
    <x v="8"/>
  </r>
  <r>
    <n v="382014"/>
    <n v="8203426392"/>
    <x v="0"/>
    <s v="45-60"/>
    <x v="226"/>
    <x v="4"/>
    <x v="0"/>
    <s v="WELCOME5"/>
    <n v="285.97000000000003"/>
    <n v="1289.03"/>
    <n v="1003.06"/>
    <x v="4"/>
    <x v="9"/>
  </r>
  <r>
    <n v="326531"/>
    <n v="9120290831"/>
    <x v="0"/>
    <s v="18-25"/>
    <x v="227"/>
    <x v="1"/>
    <x v="1"/>
    <s v="NO DISCOUNT"/>
    <n v="0"/>
    <n v="3945.2"/>
    <n v="3945.2"/>
    <x v="5"/>
    <x v="12"/>
  </r>
  <r>
    <n v="719914"/>
    <n v="9693129072"/>
    <x v="0"/>
    <s v="60 and above"/>
    <x v="228"/>
    <x v="4"/>
    <x v="0"/>
    <s v="NEWYEARS"/>
    <n v="220.67"/>
    <n v="4231.75"/>
    <n v="4011.08"/>
    <x v="0"/>
    <x v="7"/>
  </r>
  <r>
    <n v="968286"/>
    <n v="9234426752"/>
    <x v="1"/>
    <s v="45-60"/>
    <x v="229"/>
    <x v="2"/>
    <x v="1"/>
    <s v="NO DISCOUNT"/>
    <n v="0"/>
    <n v="2829.28"/>
    <n v="2829.28"/>
    <x v="0"/>
    <x v="7"/>
  </r>
  <r>
    <n v="816586"/>
    <n v="4581759746"/>
    <x v="2"/>
    <s v="45-60"/>
    <x v="230"/>
    <x v="3"/>
    <x v="1"/>
    <s v="NO DISCOUNT"/>
    <n v="0"/>
    <n v="1614.95"/>
    <n v="1614.95"/>
    <x v="0"/>
    <x v="0"/>
  </r>
  <r>
    <n v="918895"/>
    <n v="4724110138"/>
    <x v="2"/>
    <s v="25-45"/>
    <x v="28"/>
    <x v="0"/>
    <x v="1"/>
    <s v="NO DISCOUNT"/>
    <n v="0"/>
    <n v="332.13"/>
    <n v="332.13"/>
    <x v="1"/>
    <x v="8"/>
  </r>
  <r>
    <n v="737600"/>
    <n v="4724448033"/>
    <x v="1"/>
    <s v="25-45"/>
    <x v="231"/>
    <x v="5"/>
    <x v="0"/>
    <s v="FESTIVE50"/>
    <n v="305.01"/>
    <n v="4803.53"/>
    <n v="4498.5200000000004"/>
    <x v="4"/>
    <x v="8"/>
  </r>
  <r>
    <n v="957130"/>
    <n v="4996589311"/>
    <x v="0"/>
    <s v="60 and above"/>
    <x v="232"/>
    <x v="5"/>
    <x v="1"/>
    <s v="NO DISCOUNT"/>
    <n v="0"/>
    <n v="613.59"/>
    <n v="613.59"/>
    <x v="0"/>
    <x v="4"/>
  </r>
  <r>
    <n v="424356"/>
    <n v="1003927406"/>
    <x v="0"/>
    <s v="25-45"/>
    <x v="99"/>
    <x v="0"/>
    <x v="1"/>
    <s v="NO DISCOUNT"/>
    <n v="0"/>
    <n v="308.36"/>
    <n v="308.36"/>
    <x v="1"/>
    <x v="7"/>
  </r>
  <r>
    <n v="566432"/>
    <n v="9155807841"/>
    <x v="2"/>
    <s v="25-45"/>
    <x v="233"/>
    <x v="1"/>
    <x v="0"/>
    <s v="FESTIVE50"/>
    <n v="347.3"/>
    <n v="617.94000000000005"/>
    <n v="270.64"/>
    <x v="0"/>
    <x v="2"/>
  </r>
  <r>
    <n v="400189"/>
    <n v="2681498779"/>
    <x v="2"/>
    <s v="18-25"/>
    <x v="234"/>
    <x v="2"/>
    <x v="0"/>
    <s v="SAVE10"/>
    <n v="192.51"/>
    <n v="880.14"/>
    <n v="687.63"/>
    <x v="0"/>
    <x v="4"/>
  </r>
  <r>
    <n v="666847"/>
    <n v="3758579296"/>
    <x v="2"/>
    <s v="18-25"/>
    <x v="235"/>
    <x v="1"/>
    <x v="1"/>
    <s v="NO DISCOUNT"/>
    <n v="0"/>
    <n v="2908.61"/>
    <n v="2908.61"/>
    <x v="5"/>
    <x v="8"/>
  </r>
  <r>
    <n v="681627"/>
    <n v="4770015184"/>
    <x v="1"/>
    <s v="25-45"/>
    <x v="236"/>
    <x v="0"/>
    <x v="1"/>
    <s v="NO DISCOUNT"/>
    <n v="0"/>
    <n v="4295.6400000000003"/>
    <n v="4295.6400000000003"/>
    <x v="0"/>
    <x v="7"/>
  </r>
  <r>
    <n v="998348"/>
    <n v="4158080357"/>
    <x v="0"/>
    <s v="45-60"/>
    <x v="237"/>
    <x v="1"/>
    <x v="0"/>
    <s v="FESTIVE50"/>
    <n v="126.31"/>
    <n v="1951.63"/>
    <n v="1825.32"/>
    <x v="0"/>
    <x v="9"/>
  </r>
  <r>
    <n v="297370"/>
    <n v="1292649295"/>
    <x v="0"/>
    <s v="18-25"/>
    <x v="238"/>
    <x v="0"/>
    <x v="1"/>
    <s v="NO DISCOUNT"/>
    <n v="0"/>
    <n v="2442.3000000000002"/>
    <n v="2442.3000000000002"/>
    <x v="0"/>
    <x v="2"/>
  </r>
  <r>
    <n v="236828"/>
    <n v="5558832196"/>
    <x v="1"/>
    <s v="25-45"/>
    <x v="239"/>
    <x v="8"/>
    <x v="1"/>
    <s v="NO DISCOUNT"/>
    <n v="0"/>
    <n v="809.27"/>
    <n v="809.27"/>
    <x v="4"/>
    <x v="7"/>
  </r>
  <r>
    <n v="122913"/>
    <n v="5569305666"/>
    <x v="0"/>
    <s v="25-45"/>
    <x v="240"/>
    <x v="1"/>
    <x v="1"/>
    <s v="NO DISCOUNT"/>
    <n v="0"/>
    <n v="2021.76"/>
    <n v="2021.76"/>
    <x v="6"/>
    <x v="6"/>
  </r>
  <r>
    <n v="445114"/>
    <n v="7480981912"/>
    <x v="0"/>
    <s v="18-25"/>
    <x v="241"/>
    <x v="1"/>
    <x v="1"/>
    <s v="NO DISCOUNT"/>
    <n v="0"/>
    <n v="5090.74"/>
    <n v="5090.74"/>
    <x v="2"/>
    <x v="2"/>
  </r>
  <r>
    <n v="669113"/>
    <n v="3951087403"/>
    <x v="2"/>
    <s v="45-60"/>
    <x v="242"/>
    <x v="6"/>
    <x v="1"/>
    <s v="NO DISCOUNT"/>
    <n v="0"/>
    <n v="4253.8500000000004"/>
    <n v="4253.8500000000004"/>
    <x v="7"/>
    <x v="2"/>
  </r>
  <r>
    <n v="756369"/>
    <n v="5737468423"/>
    <x v="1"/>
    <s v="60 and above"/>
    <x v="243"/>
    <x v="8"/>
    <x v="0"/>
    <s v="WELCOME5"/>
    <n v="257.73"/>
    <n v="3809.68"/>
    <n v="3551.95"/>
    <x v="0"/>
    <x v="8"/>
  </r>
  <r>
    <n v="692027"/>
    <n v="3773373043"/>
    <x v="2"/>
    <s v="45-60"/>
    <x v="244"/>
    <x v="4"/>
    <x v="1"/>
    <s v="NO DISCOUNT"/>
    <n v="0"/>
    <n v="1089.03"/>
    <n v="1089.03"/>
    <x v="0"/>
    <x v="11"/>
  </r>
  <r>
    <n v="418366"/>
    <n v="6627671162"/>
    <x v="0"/>
    <s v="45-60"/>
    <x v="198"/>
    <x v="2"/>
    <x v="1"/>
    <s v="NO DISCOUNT"/>
    <n v="0"/>
    <n v="3077.97"/>
    <n v="3077.97"/>
    <x v="4"/>
    <x v="8"/>
  </r>
  <r>
    <n v="777504"/>
    <n v="1214484999"/>
    <x v="1"/>
    <s v="25-45"/>
    <x v="245"/>
    <x v="3"/>
    <x v="1"/>
    <s v="NO DISCOUNT"/>
    <n v="0"/>
    <n v="3357.52"/>
    <n v="3357.52"/>
    <x v="4"/>
    <x v="11"/>
  </r>
  <r>
    <n v="540636"/>
    <n v="1051635183"/>
    <x v="1"/>
    <s v="18-25"/>
    <x v="246"/>
    <x v="3"/>
    <x v="0"/>
    <s v="FESTIVE50"/>
    <n v="69.930000000000007"/>
    <n v="5018.91"/>
    <n v="4948.9799999999996"/>
    <x v="0"/>
    <x v="0"/>
  </r>
  <r>
    <n v="220570"/>
    <n v="6659741062"/>
    <x v="2"/>
    <s v="18-25"/>
    <x v="238"/>
    <x v="1"/>
    <x v="0"/>
    <s v="SEASONALOFFER21"/>
    <n v="283.45999999999998"/>
    <n v="2898.79"/>
    <n v="2615.33"/>
    <x v="5"/>
    <x v="8"/>
  </r>
  <r>
    <n v="618114"/>
    <n v="2921476817"/>
    <x v="0"/>
    <s v="25-45"/>
    <x v="247"/>
    <x v="1"/>
    <x v="0"/>
    <s v="SEASONALOFFER21"/>
    <n v="61.05"/>
    <n v="1025.01"/>
    <n v="963.96"/>
    <x v="1"/>
    <x v="0"/>
  </r>
  <r>
    <n v="248770"/>
    <n v="2126415466"/>
    <x v="2"/>
    <s v="25-45"/>
    <x v="248"/>
    <x v="0"/>
    <x v="1"/>
    <s v="NO DISCOUNT"/>
    <n v="0"/>
    <n v="2228.65"/>
    <n v="2228.65"/>
    <x v="6"/>
    <x v="2"/>
  </r>
  <r>
    <n v="402467"/>
    <n v="3612192326"/>
    <x v="1"/>
    <s v="25-45"/>
    <x v="249"/>
    <x v="1"/>
    <x v="0"/>
    <s v="SEASONALOFFER21"/>
    <n v="414.58"/>
    <n v="701.08"/>
    <n v="286.5"/>
    <x v="0"/>
    <x v="1"/>
  </r>
  <r>
    <n v="854914"/>
    <n v="9111377542"/>
    <x v="1"/>
    <s v="60 and above"/>
    <x v="38"/>
    <x v="2"/>
    <x v="0"/>
    <s v="FESTIVE50"/>
    <n v="198.95"/>
    <n v="2328.7800000000002"/>
    <n v="2129.83"/>
    <x v="0"/>
    <x v="2"/>
  </r>
  <r>
    <n v="995001"/>
    <n v="6172025088"/>
    <x v="0"/>
    <s v="25-45"/>
    <x v="38"/>
    <x v="1"/>
    <x v="0"/>
    <s v="SAVE10"/>
    <n v="447.39"/>
    <n v="2446.96"/>
    <n v="1999.57"/>
    <x v="0"/>
    <x v="1"/>
  </r>
  <r>
    <n v="423508"/>
    <n v="2872311328"/>
    <x v="1"/>
    <s v="45-60"/>
    <x v="250"/>
    <x v="2"/>
    <x v="0"/>
    <s v="FESTIVE50"/>
    <n v="409.78"/>
    <n v="2891.61"/>
    <n v="2481.83"/>
    <x v="0"/>
    <x v="11"/>
  </r>
  <r>
    <n v="509850"/>
    <n v="9280022678"/>
    <x v="0"/>
    <s v="45-60"/>
    <x v="251"/>
    <x v="1"/>
    <x v="1"/>
    <s v="NO DISCOUNT"/>
    <n v="0"/>
    <n v="3654.37"/>
    <n v="3654.37"/>
    <x v="0"/>
    <x v="1"/>
  </r>
  <r>
    <n v="962198"/>
    <n v="2814173307"/>
    <x v="1"/>
    <s v="25-45"/>
    <x v="252"/>
    <x v="1"/>
    <x v="1"/>
    <s v="NO DISCOUNT"/>
    <n v="0"/>
    <n v="4352.3"/>
    <n v="4352.3"/>
    <x v="6"/>
    <x v="11"/>
  </r>
  <r>
    <n v="335515"/>
    <n v="8866681438"/>
    <x v="0"/>
    <s v="18-25"/>
    <x v="253"/>
    <x v="0"/>
    <x v="0"/>
    <s v="SEASONALOFFER21"/>
    <n v="238.21"/>
    <n v="884.15"/>
    <n v="645.94000000000005"/>
    <x v="0"/>
    <x v="8"/>
  </r>
  <r>
    <n v="714298"/>
    <n v="3239036316"/>
    <x v="1"/>
    <s v="45-60"/>
    <x v="254"/>
    <x v="1"/>
    <x v="0"/>
    <s v="FESTIVE50"/>
    <n v="270.33999999999997"/>
    <n v="913.48"/>
    <n v="643.14"/>
    <x v="1"/>
    <x v="10"/>
  </r>
  <r>
    <n v="208055"/>
    <n v="5981437770"/>
    <x v="2"/>
    <s v="60 and above"/>
    <x v="255"/>
    <x v="6"/>
    <x v="0"/>
    <s v="SAVE10"/>
    <n v="483.72"/>
    <n v="2731.44"/>
    <n v="2247.7199999999998"/>
    <x v="3"/>
    <x v="1"/>
  </r>
  <r>
    <n v="654504"/>
    <n v="9768967810"/>
    <x v="1"/>
    <s v="25-45"/>
    <x v="256"/>
    <x v="1"/>
    <x v="0"/>
    <s v="SAVE10"/>
    <n v="149.24"/>
    <n v="319.37"/>
    <n v="170.13"/>
    <x v="4"/>
    <x v="8"/>
  </r>
  <r>
    <n v="918243"/>
    <n v="4714448882"/>
    <x v="1"/>
    <s v="25-45"/>
    <x v="64"/>
    <x v="0"/>
    <x v="0"/>
    <s v="FESTIVE50"/>
    <n v="170.55"/>
    <n v="2881.5"/>
    <n v="2710.95"/>
    <x v="1"/>
    <x v="4"/>
  </r>
  <r>
    <n v="570726"/>
    <n v="3303432783"/>
    <x v="1"/>
    <s v="25-45"/>
    <x v="257"/>
    <x v="5"/>
    <x v="1"/>
    <s v="NO DISCOUNT"/>
    <n v="0"/>
    <n v="966.85"/>
    <n v="966.85"/>
    <x v="5"/>
    <x v="2"/>
  </r>
  <r>
    <n v="228244"/>
    <n v="6109255798"/>
    <x v="0"/>
    <s v="18-25"/>
    <x v="258"/>
    <x v="7"/>
    <x v="1"/>
    <s v="NO DISCOUNT"/>
    <n v="0"/>
    <n v="5498.52"/>
    <n v="5498.52"/>
    <x v="1"/>
    <x v="11"/>
  </r>
  <r>
    <n v="262520"/>
    <n v="9877585075"/>
    <x v="2"/>
    <s v="25-45"/>
    <x v="259"/>
    <x v="0"/>
    <x v="1"/>
    <s v="NO DISCOUNT"/>
    <n v="0"/>
    <n v="1153.17"/>
    <n v="1153.17"/>
    <x v="6"/>
    <x v="2"/>
  </r>
  <r>
    <n v="945091"/>
    <n v="7107366265"/>
    <x v="2"/>
    <s v="25-45"/>
    <x v="260"/>
    <x v="4"/>
    <x v="0"/>
    <s v="SEASONALOFFER21"/>
    <n v="366.82"/>
    <n v="1677.53"/>
    <n v="1310.71"/>
    <x v="6"/>
    <x v="1"/>
  </r>
  <r>
    <n v="230344"/>
    <n v="4030482810"/>
    <x v="2"/>
    <s v="45-60"/>
    <x v="261"/>
    <x v="6"/>
    <x v="1"/>
    <s v="NO DISCOUNT"/>
    <n v="0"/>
    <n v="5757.54"/>
    <n v="5757.54"/>
    <x v="2"/>
    <x v="8"/>
  </r>
  <r>
    <n v="359322"/>
    <n v="2587495160"/>
    <x v="2"/>
    <s v="18-25"/>
    <x v="262"/>
    <x v="0"/>
    <x v="0"/>
    <s v="SAVE10"/>
    <n v="354.31"/>
    <n v="3192.7"/>
    <n v="2838.39"/>
    <x v="3"/>
    <x v="4"/>
  </r>
  <r>
    <n v="790172"/>
    <n v="5088187496"/>
    <x v="1"/>
    <s v="18-25"/>
    <x v="263"/>
    <x v="6"/>
    <x v="0"/>
    <s v="SEASONALOFFER21"/>
    <n v="387.41"/>
    <n v="4258.37"/>
    <n v="3870.96"/>
    <x v="0"/>
    <x v="11"/>
  </r>
  <r>
    <n v="738331"/>
    <n v="5995452713"/>
    <x v="1"/>
    <s v="45-60"/>
    <x v="264"/>
    <x v="1"/>
    <x v="0"/>
    <s v="SAVE10"/>
    <n v="256.3"/>
    <n v="3337.39"/>
    <n v="3081.09"/>
    <x v="1"/>
    <x v="6"/>
  </r>
  <r>
    <n v="194343"/>
    <n v="6960969296"/>
    <x v="2"/>
    <s v="60 and above"/>
    <x v="265"/>
    <x v="5"/>
    <x v="1"/>
    <s v="NO DISCOUNT"/>
    <n v="0"/>
    <n v="2135.0300000000002"/>
    <n v="2135.0300000000002"/>
    <x v="0"/>
    <x v="11"/>
  </r>
  <r>
    <n v="829283"/>
    <n v="5699829585"/>
    <x v="1"/>
    <s v="25-45"/>
    <x v="266"/>
    <x v="6"/>
    <x v="0"/>
    <s v="NEWYEARS"/>
    <n v="331.78"/>
    <n v="5554.57"/>
    <n v="5222.79"/>
    <x v="1"/>
    <x v="2"/>
  </r>
  <r>
    <n v="661894"/>
    <n v="1186033757"/>
    <x v="0"/>
    <s v="under 18"/>
    <x v="242"/>
    <x v="4"/>
    <x v="0"/>
    <s v="WELCOME5"/>
    <n v="459.23"/>
    <n v="4583.41"/>
    <n v="4124.18"/>
    <x v="1"/>
    <x v="12"/>
  </r>
  <r>
    <n v="271055"/>
    <n v="7121713134"/>
    <x v="0"/>
    <s v="25-45"/>
    <x v="267"/>
    <x v="8"/>
    <x v="1"/>
    <s v="NO DISCOUNT"/>
    <n v="0"/>
    <n v="4216.09"/>
    <n v="4216.09"/>
    <x v="0"/>
    <x v="2"/>
  </r>
  <r>
    <n v="311559"/>
    <n v="4732356431"/>
    <x v="0"/>
    <s v="45-60"/>
    <x v="217"/>
    <x v="6"/>
    <x v="0"/>
    <s v="SAVE10"/>
    <n v="50.49"/>
    <n v="2708.76"/>
    <n v="2658.27"/>
    <x v="4"/>
    <x v="1"/>
  </r>
  <r>
    <n v="454352"/>
    <n v="4334474378"/>
    <x v="1"/>
    <s v="under 18"/>
    <x v="268"/>
    <x v="6"/>
    <x v="0"/>
    <s v="WELCOME5"/>
    <n v="240.04"/>
    <n v="870.16"/>
    <n v="630.12"/>
    <x v="1"/>
    <x v="2"/>
  </r>
  <r>
    <n v="620248"/>
    <n v="7508758550"/>
    <x v="0"/>
    <s v="18-25"/>
    <x v="269"/>
    <x v="0"/>
    <x v="1"/>
    <s v="NO DISCOUNT"/>
    <n v="0"/>
    <n v="806.93"/>
    <n v="806.93"/>
    <x v="6"/>
    <x v="2"/>
  </r>
  <r>
    <n v="119627"/>
    <n v="8841458420"/>
    <x v="1"/>
    <s v="25-45"/>
    <x v="270"/>
    <x v="2"/>
    <x v="0"/>
    <s v="SEASONALOFFER21"/>
    <n v="375.09"/>
    <n v="3340.02"/>
    <n v="2964.93"/>
    <x v="0"/>
    <x v="7"/>
  </r>
  <r>
    <n v="999596"/>
    <n v="6945302696"/>
    <x v="2"/>
    <s v="18-25"/>
    <x v="271"/>
    <x v="6"/>
    <x v="0"/>
    <s v="SAVE10"/>
    <n v="315.31"/>
    <n v="2264.12"/>
    <n v="1948.81"/>
    <x v="1"/>
    <x v="6"/>
  </r>
  <r>
    <n v="544167"/>
    <n v="6248358004"/>
    <x v="0"/>
    <s v="18-25"/>
    <x v="272"/>
    <x v="0"/>
    <x v="1"/>
    <s v="NO DISCOUNT"/>
    <n v="0"/>
    <n v="4517.2"/>
    <n v="4517.2"/>
    <x v="0"/>
    <x v="7"/>
  </r>
  <r>
    <n v="238205"/>
    <n v="9889003328"/>
    <x v="2"/>
    <s v="25-45"/>
    <x v="273"/>
    <x v="2"/>
    <x v="1"/>
    <s v="NO DISCOUNT"/>
    <n v="0"/>
    <n v="2367.15"/>
    <n v="2367.15"/>
    <x v="0"/>
    <x v="1"/>
  </r>
  <r>
    <n v="677390"/>
    <n v="4049943829"/>
    <x v="2"/>
    <s v="25-45"/>
    <x v="102"/>
    <x v="5"/>
    <x v="0"/>
    <s v="SEASONALOFFER21"/>
    <n v="489.96"/>
    <n v="4615.5200000000004"/>
    <n v="4125.5600000000004"/>
    <x v="0"/>
    <x v="2"/>
  </r>
  <r>
    <n v="567672"/>
    <n v="2374111231"/>
    <x v="0"/>
    <s v="25-45"/>
    <x v="220"/>
    <x v="4"/>
    <x v="1"/>
    <s v="NO DISCOUNT"/>
    <n v="0"/>
    <n v="5077.79"/>
    <n v="5077.79"/>
    <x v="1"/>
    <x v="0"/>
  </r>
  <r>
    <n v="165308"/>
    <n v="6582702511"/>
    <x v="0"/>
    <s v="under 18"/>
    <x v="250"/>
    <x v="0"/>
    <x v="1"/>
    <s v="NO DISCOUNT"/>
    <n v="0"/>
    <n v="2737.41"/>
    <n v="2737.41"/>
    <x v="0"/>
    <x v="8"/>
  </r>
  <r>
    <n v="648108"/>
    <n v="5158734449"/>
    <x v="2"/>
    <s v="25-45"/>
    <x v="202"/>
    <x v="1"/>
    <x v="0"/>
    <s v="NEWYEARS"/>
    <n v="189.46"/>
    <n v="2892.81"/>
    <n v="2703.35"/>
    <x v="1"/>
    <x v="1"/>
  </r>
  <r>
    <n v="808441"/>
    <n v="4931038429"/>
    <x v="2"/>
    <s v="25-45"/>
    <x v="174"/>
    <x v="0"/>
    <x v="0"/>
    <s v="SEASONALOFFER21"/>
    <n v="246.87"/>
    <n v="5967.66"/>
    <n v="5720.79"/>
    <x v="0"/>
    <x v="4"/>
  </r>
  <r>
    <n v="491835"/>
    <n v="9262905889"/>
    <x v="0"/>
    <s v="25-45"/>
    <x v="274"/>
    <x v="0"/>
    <x v="1"/>
    <s v="NO DISCOUNT"/>
    <n v="0"/>
    <n v="3904.47"/>
    <n v="3904.47"/>
    <x v="1"/>
    <x v="7"/>
  </r>
  <r>
    <n v="732829"/>
    <n v="4617952074"/>
    <x v="0"/>
    <s v="18-25"/>
    <x v="275"/>
    <x v="2"/>
    <x v="1"/>
    <s v="NO DISCOUNT"/>
    <n v="0"/>
    <n v="1151.72"/>
    <n v="1151.72"/>
    <x v="4"/>
    <x v="12"/>
  </r>
  <r>
    <n v="746915"/>
    <n v="4627577136"/>
    <x v="2"/>
    <s v="18-25"/>
    <x v="276"/>
    <x v="4"/>
    <x v="1"/>
    <s v="NO DISCOUNT"/>
    <n v="0"/>
    <n v="5365.1"/>
    <n v="5365.1"/>
    <x v="4"/>
    <x v="6"/>
  </r>
  <r>
    <n v="806642"/>
    <n v="8702414544"/>
    <x v="1"/>
    <s v="25-45"/>
    <x v="277"/>
    <x v="0"/>
    <x v="1"/>
    <s v="NO DISCOUNT"/>
    <n v="0"/>
    <n v="527.79"/>
    <n v="527.79"/>
    <x v="7"/>
    <x v="1"/>
  </r>
  <r>
    <n v="782535"/>
    <n v="4245570982"/>
    <x v="0"/>
    <s v="45-60"/>
    <x v="121"/>
    <x v="0"/>
    <x v="0"/>
    <s v="NEWYEARS"/>
    <n v="278.97000000000003"/>
    <n v="400.85"/>
    <n v="121.88"/>
    <x v="5"/>
    <x v="0"/>
  </r>
  <r>
    <n v="712451"/>
    <n v="7447874133"/>
    <x v="0"/>
    <s v="18-25"/>
    <x v="278"/>
    <x v="1"/>
    <x v="0"/>
    <s v="FESTIVE50"/>
    <n v="461.28"/>
    <n v="5108.1400000000003"/>
    <n v="4646.8599999999997"/>
    <x v="0"/>
    <x v="10"/>
  </r>
  <r>
    <n v="560824"/>
    <n v="2370263881"/>
    <x v="0"/>
    <s v="18-25"/>
    <x v="279"/>
    <x v="0"/>
    <x v="1"/>
    <s v="NO DISCOUNT"/>
    <n v="0"/>
    <n v="962.4"/>
    <n v="962.4"/>
    <x v="2"/>
    <x v="11"/>
  </r>
  <r>
    <n v="434217"/>
    <n v="9252958800"/>
    <x v="0"/>
    <s v="60 and above"/>
    <x v="159"/>
    <x v="4"/>
    <x v="1"/>
    <s v="NO DISCOUNT"/>
    <n v="0"/>
    <n v="4785.29"/>
    <n v="4785.29"/>
    <x v="7"/>
    <x v="8"/>
  </r>
  <r>
    <n v="896806"/>
    <n v="3587885883"/>
    <x v="0"/>
    <s v="18-25"/>
    <x v="280"/>
    <x v="6"/>
    <x v="1"/>
    <s v="NO DISCOUNT"/>
    <n v="0"/>
    <n v="4110.63"/>
    <n v="4110.63"/>
    <x v="0"/>
    <x v="7"/>
  </r>
  <r>
    <n v="565676"/>
    <n v="1356242586"/>
    <x v="1"/>
    <s v="45-60"/>
    <x v="200"/>
    <x v="6"/>
    <x v="0"/>
    <s v="NEWYEARS"/>
    <n v="469.58"/>
    <n v="279.26"/>
    <n v="-190.32"/>
    <x v="1"/>
    <x v="8"/>
  </r>
  <r>
    <n v="768656"/>
    <n v="8978114343"/>
    <x v="1"/>
    <s v="60 and above"/>
    <x v="281"/>
    <x v="4"/>
    <x v="1"/>
    <s v="NO DISCOUNT"/>
    <n v="0"/>
    <n v="5825.38"/>
    <n v="5825.38"/>
    <x v="3"/>
    <x v="8"/>
  </r>
  <r>
    <n v="315621"/>
    <n v="6125880761"/>
    <x v="0"/>
    <s v="25-45"/>
    <x v="282"/>
    <x v="6"/>
    <x v="0"/>
    <s v="SAVE10"/>
    <n v="91.86"/>
    <n v="5045.3599999999997"/>
    <n v="4953.5"/>
    <x v="0"/>
    <x v="8"/>
  </r>
  <r>
    <n v="176231"/>
    <n v="3099636955"/>
    <x v="1"/>
    <s v="25-45"/>
    <x v="207"/>
    <x v="4"/>
    <x v="0"/>
    <s v="FESTIVE50"/>
    <n v="227.46"/>
    <n v="2695.97"/>
    <n v="2468.5100000000002"/>
    <x v="1"/>
    <x v="7"/>
  </r>
  <r>
    <n v="130610"/>
    <n v="8123833948"/>
    <x v="1"/>
    <s v="18-25"/>
    <x v="283"/>
    <x v="7"/>
    <x v="1"/>
    <s v="NO DISCOUNT"/>
    <n v="0"/>
    <n v="3832.4"/>
    <n v="3832.4"/>
    <x v="0"/>
    <x v="2"/>
  </r>
  <r>
    <n v="137429"/>
    <n v="9527466935"/>
    <x v="0"/>
    <s v="18-25"/>
    <x v="284"/>
    <x v="0"/>
    <x v="0"/>
    <s v="NEWYEARS"/>
    <n v="123.97"/>
    <n v="2277.8000000000002"/>
    <n v="2153.83"/>
    <x v="0"/>
    <x v="4"/>
  </r>
  <r>
    <n v="904243"/>
    <n v="9174572861"/>
    <x v="0"/>
    <s v="25-45"/>
    <x v="285"/>
    <x v="1"/>
    <x v="0"/>
    <s v="NEWYEARS"/>
    <n v="413.42"/>
    <n v="1792.05"/>
    <n v="1378.63"/>
    <x v="5"/>
    <x v="1"/>
  </r>
  <r>
    <n v="848022"/>
    <n v="3038978817"/>
    <x v="0"/>
    <s v="25-45"/>
    <x v="286"/>
    <x v="4"/>
    <x v="1"/>
    <s v="NO DISCOUNT"/>
    <n v="0"/>
    <n v="4250.8500000000004"/>
    <n v="4250.8500000000004"/>
    <x v="0"/>
    <x v="13"/>
  </r>
  <r>
    <n v="711561"/>
    <n v="7914527549"/>
    <x v="0"/>
    <s v="25-45"/>
    <x v="287"/>
    <x v="7"/>
    <x v="0"/>
    <s v="NEWYEARS"/>
    <n v="95.86"/>
    <n v="4829.9799999999996"/>
    <n v="4734.12"/>
    <x v="0"/>
    <x v="1"/>
  </r>
  <r>
    <n v="699378"/>
    <n v="8610169802"/>
    <x v="0"/>
    <s v="18-25"/>
    <x v="288"/>
    <x v="4"/>
    <x v="1"/>
    <s v="NO DISCOUNT"/>
    <n v="0"/>
    <n v="3548.05"/>
    <n v="3548.05"/>
    <x v="7"/>
    <x v="11"/>
  </r>
  <r>
    <n v="810614"/>
    <n v="8600654311"/>
    <x v="1"/>
    <s v="under 18"/>
    <x v="289"/>
    <x v="0"/>
    <x v="1"/>
    <s v="NO DISCOUNT"/>
    <n v="0"/>
    <n v="4645.6099999999997"/>
    <n v="4645.6099999999997"/>
    <x v="6"/>
    <x v="8"/>
  </r>
  <r>
    <n v="497030"/>
    <n v="2271291557"/>
    <x v="2"/>
    <s v="under 18"/>
    <x v="290"/>
    <x v="4"/>
    <x v="0"/>
    <s v="WELCOME5"/>
    <n v="244.92"/>
    <n v="5898.22"/>
    <n v="5653.3"/>
    <x v="0"/>
    <x v="1"/>
  </r>
  <r>
    <n v="488399"/>
    <n v="2007293126"/>
    <x v="0"/>
    <s v="18-25"/>
    <x v="291"/>
    <x v="2"/>
    <x v="1"/>
    <s v="NO DISCOUNT"/>
    <n v="0"/>
    <n v="2261.11"/>
    <n v="2261.11"/>
    <x v="0"/>
    <x v="8"/>
  </r>
  <r>
    <n v="791354"/>
    <n v="8640655277"/>
    <x v="0"/>
    <s v="18-25"/>
    <x v="292"/>
    <x v="6"/>
    <x v="1"/>
    <s v="NO DISCOUNT"/>
    <n v="0"/>
    <n v="579.48"/>
    <n v="579.48"/>
    <x v="0"/>
    <x v="1"/>
  </r>
  <r>
    <n v="114286"/>
    <n v="9664947919"/>
    <x v="1"/>
    <s v="45-60"/>
    <x v="293"/>
    <x v="1"/>
    <x v="0"/>
    <s v="WELCOME5"/>
    <n v="401.86"/>
    <n v="2828.08"/>
    <n v="2426.2199999999998"/>
    <x v="1"/>
    <x v="2"/>
  </r>
  <r>
    <n v="101544"/>
    <n v="1654291617"/>
    <x v="2"/>
    <s v="18-25"/>
    <x v="294"/>
    <x v="1"/>
    <x v="0"/>
    <s v="SEASONALOFFER21"/>
    <n v="148.56"/>
    <n v="4393.33"/>
    <n v="4244.7700000000004"/>
    <x v="1"/>
    <x v="2"/>
  </r>
  <r>
    <n v="663852"/>
    <n v="5058642877"/>
    <x v="0"/>
    <s v="45-60"/>
    <x v="295"/>
    <x v="7"/>
    <x v="0"/>
    <s v="NEWYEARS"/>
    <n v="345.59"/>
    <n v="2322.6799999999998"/>
    <n v="1977.09"/>
    <x v="1"/>
    <x v="3"/>
  </r>
  <r>
    <n v="380310"/>
    <n v="2565641348"/>
    <x v="2"/>
    <s v="60 and above"/>
    <x v="296"/>
    <x v="8"/>
    <x v="0"/>
    <s v="NEWYEARS"/>
    <n v="316.63"/>
    <n v="4872.1400000000003"/>
    <n v="4555.51"/>
    <x v="1"/>
    <x v="2"/>
  </r>
  <r>
    <n v="593091"/>
    <n v="3680673764"/>
    <x v="2"/>
    <s v="45-60"/>
    <x v="297"/>
    <x v="0"/>
    <x v="0"/>
    <s v="SAVE10"/>
    <n v="414.68"/>
    <n v="5342.02"/>
    <n v="4927.34"/>
    <x v="4"/>
    <x v="7"/>
  </r>
  <r>
    <n v="173115"/>
    <n v="9968937503"/>
    <x v="0"/>
    <s v="18-25"/>
    <x v="241"/>
    <x v="1"/>
    <x v="1"/>
    <s v="NO DISCOUNT"/>
    <n v="0"/>
    <n v="160.97999999999999"/>
    <n v="160.97999999999999"/>
    <x v="0"/>
    <x v="2"/>
  </r>
  <r>
    <n v="538738"/>
    <n v="8560169159"/>
    <x v="2"/>
    <s v="45-60"/>
    <x v="298"/>
    <x v="1"/>
    <x v="0"/>
    <s v="NEWYEARS"/>
    <n v="313.97000000000003"/>
    <n v="5564.23"/>
    <n v="5250.26"/>
    <x v="0"/>
    <x v="6"/>
  </r>
  <r>
    <n v="594241"/>
    <n v="4021167716"/>
    <x v="2"/>
    <s v="25-45"/>
    <x v="100"/>
    <x v="4"/>
    <x v="1"/>
    <s v="NO DISCOUNT"/>
    <n v="0"/>
    <n v="3590.62"/>
    <n v="3590.62"/>
    <x v="7"/>
    <x v="10"/>
  </r>
  <r>
    <n v="621480"/>
    <n v="5386240502"/>
    <x v="0"/>
    <s v="45-60"/>
    <x v="299"/>
    <x v="0"/>
    <x v="1"/>
    <s v="NO DISCOUNT"/>
    <n v="0"/>
    <n v="3224.3"/>
    <n v="3224.3"/>
    <x v="0"/>
    <x v="11"/>
  </r>
  <r>
    <n v="795350"/>
    <n v="6339703745"/>
    <x v="2"/>
    <s v="25-45"/>
    <x v="300"/>
    <x v="6"/>
    <x v="0"/>
    <s v="SEASONALOFFER21"/>
    <n v="380.3"/>
    <n v="1408.73"/>
    <n v="1028.43"/>
    <x v="3"/>
    <x v="2"/>
  </r>
  <r>
    <n v="861173"/>
    <n v="4273894820"/>
    <x v="2"/>
    <s v="25-45"/>
    <x v="301"/>
    <x v="8"/>
    <x v="0"/>
    <s v="NEWYEARS"/>
    <n v="193.2"/>
    <n v="4215.25"/>
    <n v="4022.05"/>
    <x v="2"/>
    <x v="3"/>
  </r>
  <r>
    <n v="699951"/>
    <n v="1490869240"/>
    <x v="1"/>
    <s v="18-25"/>
    <x v="302"/>
    <x v="0"/>
    <x v="1"/>
    <s v="NO DISCOUNT"/>
    <n v="0"/>
    <n v="5086.55"/>
    <n v="5086.55"/>
    <x v="1"/>
    <x v="8"/>
  </r>
  <r>
    <n v="526777"/>
    <n v="9749457694"/>
    <x v="1"/>
    <s v="25-45"/>
    <x v="303"/>
    <x v="7"/>
    <x v="1"/>
    <s v="NO DISCOUNT"/>
    <n v="0"/>
    <n v="2188.77"/>
    <n v="2188.77"/>
    <x v="6"/>
    <x v="4"/>
  </r>
  <r>
    <n v="627900"/>
    <n v="1188361043"/>
    <x v="0"/>
    <s v="45-60"/>
    <x v="304"/>
    <x v="2"/>
    <x v="0"/>
    <s v="SEASONALOFFER21"/>
    <n v="379.66"/>
    <n v="4947.1400000000003"/>
    <n v="4567.4799999999996"/>
    <x v="0"/>
    <x v="4"/>
  </r>
  <r>
    <n v="223815"/>
    <n v="4906403575"/>
    <x v="1"/>
    <s v="18-25"/>
    <x v="305"/>
    <x v="1"/>
    <x v="0"/>
    <s v="NEWYEARS"/>
    <n v="83.17"/>
    <n v="5102.34"/>
    <n v="5019.17"/>
    <x v="1"/>
    <x v="1"/>
  </r>
  <r>
    <n v="870137"/>
    <n v="1038282607"/>
    <x v="0"/>
    <s v="18-25"/>
    <x v="306"/>
    <x v="0"/>
    <x v="0"/>
    <s v="SAVE10"/>
    <n v="296.17"/>
    <n v="5069.1400000000003"/>
    <n v="4772.97"/>
    <x v="0"/>
    <x v="6"/>
  </r>
  <r>
    <n v="836201"/>
    <n v="1140431292"/>
    <x v="1"/>
    <s v="25-45"/>
    <x v="307"/>
    <x v="7"/>
    <x v="0"/>
    <s v="FESTIVE50"/>
    <n v="245.39"/>
    <n v="417.95"/>
    <n v="172.56"/>
    <x v="3"/>
    <x v="1"/>
  </r>
  <r>
    <n v="796117"/>
    <n v="4667432589"/>
    <x v="0"/>
    <s v="25-45"/>
    <x v="164"/>
    <x v="0"/>
    <x v="1"/>
    <s v="NO DISCOUNT"/>
    <n v="0"/>
    <n v="3689.29"/>
    <n v="3689.29"/>
    <x v="4"/>
    <x v="4"/>
  </r>
  <r>
    <n v="518832"/>
    <n v="6663535015"/>
    <x v="0"/>
    <s v="45-60"/>
    <x v="308"/>
    <x v="0"/>
    <x v="1"/>
    <s v="NO DISCOUNT"/>
    <n v="0"/>
    <n v="189.57"/>
    <n v="189.57"/>
    <x v="1"/>
    <x v="8"/>
  </r>
  <r>
    <n v="207697"/>
    <n v="6184094209"/>
    <x v="0"/>
    <s v="18-25"/>
    <x v="134"/>
    <x v="2"/>
    <x v="0"/>
    <s v="FESTIVE50"/>
    <n v="489.68"/>
    <n v="3817.04"/>
    <n v="3327.36"/>
    <x v="1"/>
    <x v="8"/>
  </r>
  <r>
    <n v="215717"/>
    <n v="4841551461"/>
    <x v="0"/>
    <s v="25-45"/>
    <x v="309"/>
    <x v="1"/>
    <x v="1"/>
    <s v="NO DISCOUNT"/>
    <n v="0"/>
    <n v="1151.3399999999999"/>
    <n v="1151.3399999999999"/>
    <x v="1"/>
    <x v="8"/>
  </r>
  <r>
    <n v="833675"/>
    <n v="5757951685"/>
    <x v="1"/>
    <s v="25-45"/>
    <x v="310"/>
    <x v="1"/>
    <x v="1"/>
    <s v="NO DISCOUNT"/>
    <n v="0"/>
    <n v="3247.43"/>
    <n v="3247.43"/>
    <x v="0"/>
    <x v="2"/>
  </r>
  <r>
    <n v="867333"/>
    <n v="7025494053"/>
    <x v="2"/>
    <s v="18-25"/>
    <x v="177"/>
    <x v="2"/>
    <x v="0"/>
    <s v="FESTIVE50"/>
    <n v="428.36"/>
    <n v="4634.18"/>
    <n v="4205.82"/>
    <x v="0"/>
    <x v="1"/>
  </r>
  <r>
    <n v="150120"/>
    <n v="6377939469"/>
    <x v="2"/>
    <s v="25-45"/>
    <x v="311"/>
    <x v="2"/>
    <x v="1"/>
    <s v="NO DISCOUNT"/>
    <n v="0"/>
    <n v="644.85"/>
    <n v="644.85"/>
    <x v="2"/>
    <x v="2"/>
  </r>
  <r>
    <n v="495019"/>
    <n v="9264063291"/>
    <x v="1"/>
    <s v="25-45"/>
    <x v="312"/>
    <x v="3"/>
    <x v="0"/>
    <s v="WELCOME5"/>
    <n v="252.07"/>
    <n v="5133.1899999999996"/>
    <n v="4881.12"/>
    <x v="6"/>
    <x v="7"/>
  </r>
  <r>
    <n v="268384"/>
    <n v="8958848294"/>
    <x v="2"/>
    <s v="25-45"/>
    <x v="313"/>
    <x v="4"/>
    <x v="1"/>
    <s v="NO DISCOUNT"/>
    <n v="0"/>
    <n v="1366.47"/>
    <n v="1366.47"/>
    <x v="0"/>
    <x v="3"/>
  </r>
  <r>
    <n v="397514"/>
    <n v="4488857970"/>
    <x v="2"/>
    <s v="45-60"/>
    <x v="314"/>
    <x v="0"/>
    <x v="1"/>
    <s v="NO DISCOUNT"/>
    <n v="0"/>
    <n v="3702.88"/>
    <n v="3702.88"/>
    <x v="2"/>
    <x v="8"/>
  </r>
  <r>
    <n v="336722"/>
    <n v="4764952857"/>
    <x v="0"/>
    <s v="45-60"/>
    <x v="315"/>
    <x v="0"/>
    <x v="1"/>
    <s v="NO DISCOUNT"/>
    <n v="0"/>
    <n v="657.46"/>
    <n v="657.46"/>
    <x v="1"/>
    <x v="11"/>
  </r>
  <r>
    <n v="713513"/>
    <n v="9373934414"/>
    <x v="0"/>
    <s v="45-60"/>
    <x v="113"/>
    <x v="6"/>
    <x v="0"/>
    <s v="SAVE10"/>
    <n v="440.36"/>
    <n v="6031.47"/>
    <n v="5591.11"/>
    <x v="5"/>
    <x v="9"/>
  </r>
  <r>
    <n v="785055"/>
    <n v="7045888695"/>
    <x v="0"/>
    <s v="25-45"/>
    <x v="316"/>
    <x v="2"/>
    <x v="1"/>
    <s v="NO DISCOUNT"/>
    <n v="0"/>
    <n v="1072.33"/>
    <n v="1072.33"/>
    <x v="1"/>
    <x v="8"/>
  </r>
  <r>
    <n v="169224"/>
    <n v="3226715826"/>
    <x v="0"/>
    <s v="18-25"/>
    <x v="317"/>
    <x v="4"/>
    <x v="1"/>
    <s v="NO DISCOUNT"/>
    <n v="0"/>
    <n v="5175.6899999999996"/>
    <n v="5175.6899999999996"/>
    <x v="0"/>
    <x v="4"/>
  </r>
  <r>
    <n v="425845"/>
    <n v="6725503227"/>
    <x v="1"/>
    <s v="45-60"/>
    <x v="318"/>
    <x v="5"/>
    <x v="0"/>
    <s v="WELCOME5"/>
    <n v="152.58000000000001"/>
    <n v="1502.85"/>
    <n v="1350.27"/>
    <x v="0"/>
    <x v="6"/>
  </r>
  <r>
    <n v="533501"/>
    <n v="5847023874"/>
    <x v="2"/>
    <s v="25-45"/>
    <x v="136"/>
    <x v="1"/>
    <x v="1"/>
    <s v="NO DISCOUNT"/>
    <n v="0"/>
    <n v="1234"/>
    <n v="1234"/>
    <x v="4"/>
    <x v="8"/>
  </r>
  <r>
    <n v="432741"/>
    <n v="9737606893"/>
    <x v="2"/>
    <s v="45-60"/>
    <x v="319"/>
    <x v="5"/>
    <x v="0"/>
    <s v="NEWYEARS"/>
    <n v="369.31"/>
    <n v="3096.44"/>
    <n v="2727.13"/>
    <x v="3"/>
    <x v="1"/>
  </r>
  <r>
    <n v="974768"/>
    <n v="9679231761"/>
    <x v="2"/>
    <s v="45-60"/>
    <x v="320"/>
    <x v="0"/>
    <x v="0"/>
    <s v="NEWYEARS"/>
    <n v="72.75"/>
    <n v="2049.65"/>
    <n v="1976.9"/>
    <x v="0"/>
    <x v="6"/>
  </r>
  <r>
    <n v="816742"/>
    <n v="3852162469"/>
    <x v="0"/>
    <s v="25-45"/>
    <x v="29"/>
    <x v="4"/>
    <x v="0"/>
    <s v="NEWYEARS"/>
    <n v="269.95"/>
    <n v="2186.35"/>
    <n v="1916.4"/>
    <x v="1"/>
    <x v="8"/>
  </r>
  <r>
    <n v="371521"/>
    <n v="8500228243"/>
    <x v="1"/>
    <s v="45-60"/>
    <x v="321"/>
    <x v="1"/>
    <x v="0"/>
    <s v="NEWYEARS"/>
    <n v="223.95"/>
    <n v="1222.1300000000001"/>
    <n v="998.18"/>
    <x v="0"/>
    <x v="4"/>
  </r>
  <r>
    <n v="201050"/>
    <n v="2372798445"/>
    <x v="2"/>
    <s v="18-25"/>
    <x v="156"/>
    <x v="0"/>
    <x v="1"/>
    <s v="NO DISCOUNT"/>
    <n v="0"/>
    <n v="3695.17"/>
    <n v="3695.17"/>
    <x v="0"/>
    <x v="2"/>
  </r>
  <r>
    <n v="772642"/>
    <n v="6746324509"/>
    <x v="1"/>
    <s v="45-60"/>
    <x v="322"/>
    <x v="0"/>
    <x v="1"/>
    <s v="NO DISCOUNT"/>
    <n v="0"/>
    <n v="3570.72"/>
    <n v="3570.72"/>
    <x v="0"/>
    <x v="2"/>
  </r>
  <r>
    <n v="794595"/>
    <n v="4538630049"/>
    <x v="1"/>
    <s v="18-25"/>
    <x v="323"/>
    <x v="1"/>
    <x v="1"/>
    <s v="NO DISCOUNT"/>
    <n v="0"/>
    <n v="5014.3999999999996"/>
    <n v="5014.3999999999996"/>
    <x v="0"/>
    <x v="1"/>
  </r>
  <r>
    <n v="376807"/>
    <n v="4768454293"/>
    <x v="1"/>
    <s v="25-45"/>
    <x v="324"/>
    <x v="2"/>
    <x v="1"/>
    <s v="NO DISCOUNT"/>
    <n v="0"/>
    <n v="1629.56"/>
    <n v="1629.56"/>
    <x v="6"/>
    <x v="7"/>
  </r>
  <r>
    <n v="525146"/>
    <n v="4115960020"/>
    <x v="1"/>
    <s v="18-25"/>
    <x v="325"/>
    <x v="1"/>
    <x v="1"/>
    <s v="NO DISCOUNT"/>
    <n v="0"/>
    <n v="1228.4000000000001"/>
    <n v="1228.4000000000001"/>
    <x v="0"/>
    <x v="2"/>
  </r>
  <r>
    <n v="710097"/>
    <n v="6227277682"/>
    <x v="2"/>
    <s v="45-60"/>
    <x v="326"/>
    <x v="4"/>
    <x v="1"/>
    <s v="NO DISCOUNT"/>
    <n v="0"/>
    <n v="3417.15"/>
    <n v="3417.15"/>
    <x v="6"/>
    <x v="7"/>
  </r>
  <r>
    <n v="616554"/>
    <n v="4486755506"/>
    <x v="1"/>
    <s v="25-45"/>
    <x v="327"/>
    <x v="7"/>
    <x v="0"/>
    <s v="FESTIVE50"/>
    <n v="497.64"/>
    <n v="3881.75"/>
    <n v="3384.11"/>
    <x v="0"/>
    <x v="2"/>
  </r>
  <r>
    <n v="731046"/>
    <n v="4895855358"/>
    <x v="2"/>
    <s v="45-60"/>
    <x v="328"/>
    <x v="0"/>
    <x v="1"/>
    <s v="NO DISCOUNT"/>
    <n v="0"/>
    <n v="2603.9499999999998"/>
    <n v="2603.9499999999998"/>
    <x v="1"/>
    <x v="9"/>
  </r>
  <r>
    <n v="630930"/>
    <n v="4102606641"/>
    <x v="2"/>
    <s v="18-25"/>
    <x v="329"/>
    <x v="4"/>
    <x v="1"/>
    <s v="NO DISCOUNT"/>
    <n v="0"/>
    <n v="3272.94"/>
    <n v="3272.94"/>
    <x v="0"/>
    <x v="8"/>
  </r>
  <r>
    <n v="950730"/>
    <n v="2008441755"/>
    <x v="2"/>
    <s v="18-25"/>
    <x v="330"/>
    <x v="0"/>
    <x v="1"/>
    <s v="NO DISCOUNT"/>
    <n v="0"/>
    <n v="1387.28"/>
    <n v="1387.28"/>
    <x v="4"/>
    <x v="8"/>
  </r>
  <r>
    <n v="318950"/>
    <n v="9334437368"/>
    <x v="1"/>
    <s v="25-45"/>
    <x v="123"/>
    <x v="4"/>
    <x v="0"/>
    <s v="SEASONALOFFER21"/>
    <n v="439.88"/>
    <n v="3539.15"/>
    <n v="3099.27"/>
    <x v="0"/>
    <x v="1"/>
  </r>
  <r>
    <n v="481657"/>
    <n v="5153991571"/>
    <x v="1"/>
    <s v="25-45"/>
    <x v="331"/>
    <x v="0"/>
    <x v="1"/>
    <s v="NO DISCOUNT"/>
    <n v="0"/>
    <n v="430.75"/>
    <n v="430.75"/>
    <x v="0"/>
    <x v="1"/>
  </r>
  <r>
    <n v="142004"/>
    <n v="6285562711"/>
    <x v="0"/>
    <s v="25-45"/>
    <x v="332"/>
    <x v="0"/>
    <x v="1"/>
    <s v="NO DISCOUNT"/>
    <n v="0"/>
    <n v="825.64"/>
    <n v="825.64"/>
    <x v="1"/>
    <x v="9"/>
  </r>
  <r>
    <n v="119011"/>
    <n v="5571859381"/>
    <x v="2"/>
    <s v="18-25"/>
    <x v="333"/>
    <x v="1"/>
    <x v="0"/>
    <s v="SEASONALOFFER21"/>
    <n v="144.22"/>
    <n v="4877.1000000000004"/>
    <n v="4732.88"/>
    <x v="1"/>
    <x v="7"/>
  </r>
  <r>
    <n v="904274"/>
    <n v="3933217062"/>
    <x v="2"/>
    <s v="18-25"/>
    <x v="334"/>
    <x v="1"/>
    <x v="1"/>
    <s v="NO DISCOUNT"/>
    <n v="0"/>
    <n v="2432.96"/>
    <n v="2432.96"/>
    <x v="5"/>
    <x v="7"/>
  </r>
  <r>
    <n v="121820"/>
    <n v="7199705913"/>
    <x v="1"/>
    <s v="25-45"/>
    <x v="335"/>
    <x v="0"/>
    <x v="1"/>
    <s v="NO DISCOUNT"/>
    <n v="0"/>
    <n v="4584.8500000000004"/>
    <n v="4584.8500000000004"/>
    <x v="0"/>
    <x v="8"/>
  </r>
  <r>
    <n v="343394"/>
    <n v="1380192493"/>
    <x v="0"/>
    <s v="18-25"/>
    <x v="336"/>
    <x v="2"/>
    <x v="1"/>
    <s v="NO DISCOUNT"/>
    <n v="0"/>
    <n v="1996.38"/>
    <n v="1996.38"/>
    <x v="1"/>
    <x v="0"/>
  </r>
  <r>
    <n v="316818"/>
    <n v="2691822439"/>
    <x v="1"/>
    <s v="45-60"/>
    <x v="337"/>
    <x v="6"/>
    <x v="1"/>
    <s v="NO DISCOUNT"/>
    <n v="0"/>
    <n v="2951.55"/>
    <n v="2951.55"/>
    <x v="0"/>
    <x v="2"/>
  </r>
  <r>
    <n v="110715"/>
    <n v="9696160042"/>
    <x v="1"/>
    <s v="60 and above"/>
    <x v="106"/>
    <x v="1"/>
    <x v="1"/>
    <s v="NO DISCOUNT"/>
    <n v="0"/>
    <n v="1788.29"/>
    <n v="1788.29"/>
    <x v="3"/>
    <x v="2"/>
  </r>
  <r>
    <n v="382368"/>
    <n v="8023085096"/>
    <x v="0"/>
    <s v="under 18"/>
    <x v="338"/>
    <x v="3"/>
    <x v="0"/>
    <s v="NEWYEARS"/>
    <n v="59.86"/>
    <n v="2759.81"/>
    <n v="2699.95"/>
    <x v="6"/>
    <x v="2"/>
  </r>
  <r>
    <n v="604283"/>
    <n v="5581784456"/>
    <x v="1"/>
    <s v="45-60"/>
    <x v="339"/>
    <x v="2"/>
    <x v="0"/>
    <s v="FESTIVE50"/>
    <n v="71.58"/>
    <n v="758.64"/>
    <n v="687.06"/>
    <x v="0"/>
    <x v="2"/>
  </r>
  <r>
    <n v="101206"/>
    <n v="4082960786"/>
    <x v="0"/>
    <s v="18-25"/>
    <x v="340"/>
    <x v="0"/>
    <x v="0"/>
    <s v="NEWYEARS"/>
    <n v="358.58"/>
    <n v="204.89"/>
    <n v="-153.69"/>
    <x v="1"/>
    <x v="2"/>
  </r>
  <r>
    <n v="585750"/>
    <n v="1379146623"/>
    <x v="1"/>
    <s v="25-45"/>
    <x v="341"/>
    <x v="2"/>
    <x v="0"/>
    <s v="SEASONALOFFER21"/>
    <n v="327.96"/>
    <n v="1836.76"/>
    <n v="1508.8"/>
    <x v="0"/>
    <x v="8"/>
  </r>
  <r>
    <n v="365953"/>
    <n v="5066808566"/>
    <x v="1"/>
    <s v="45-60"/>
    <x v="342"/>
    <x v="6"/>
    <x v="1"/>
    <s v="NO DISCOUNT"/>
    <n v="0"/>
    <n v="4309.62"/>
    <n v="4309.62"/>
    <x v="5"/>
    <x v="5"/>
  </r>
  <r>
    <n v="586449"/>
    <n v="7927236521"/>
    <x v="0"/>
    <s v="25-45"/>
    <x v="343"/>
    <x v="6"/>
    <x v="0"/>
    <s v="NEWYEARS"/>
    <n v="352.23"/>
    <n v="7641.26"/>
    <n v="7289.03"/>
    <x v="2"/>
    <x v="1"/>
  </r>
  <r>
    <n v="785520"/>
    <n v="4993755155"/>
    <x v="2"/>
    <s v="25-45"/>
    <x v="344"/>
    <x v="0"/>
    <x v="0"/>
    <s v="WELCOME5"/>
    <n v="339.95"/>
    <n v="2554.46"/>
    <n v="2214.5100000000002"/>
    <x v="0"/>
    <x v="4"/>
  </r>
  <r>
    <n v="755879"/>
    <n v="1599182988"/>
    <x v="0"/>
    <s v="45-60"/>
    <x v="345"/>
    <x v="0"/>
    <x v="1"/>
    <s v="NO DISCOUNT"/>
    <n v="0"/>
    <n v="4542.46"/>
    <n v="4542.46"/>
    <x v="6"/>
    <x v="6"/>
  </r>
  <r>
    <n v="765748"/>
    <n v="2324674174"/>
    <x v="1"/>
    <s v="45-60"/>
    <x v="346"/>
    <x v="0"/>
    <x v="0"/>
    <s v="FESTIVE50"/>
    <n v="126.73"/>
    <n v="2260.81"/>
    <n v="2134.08"/>
    <x v="3"/>
    <x v="8"/>
  </r>
  <r>
    <n v="196497"/>
    <n v="3604485882"/>
    <x v="2"/>
    <s v="25-45"/>
    <x v="347"/>
    <x v="0"/>
    <x v="0"/>
    <s v="SEASONALOFFER21"/>
    <n v="483.04"/>
    <n v="1938.27"/>
    <n v="1455.23"/>
    <x v="4"/>
    <x v="2"/>
  </r>
  <r>
    <n v="293741"/>
    <n v="9584343419"/>
    <x v="2"/>
    <s v="45-60"/>
    <x v="348"/>
    <x v="1"/>
    <x v="0"/>
    <s v="FESTIVE50"/>
    <n v="76.39"/>
    <n v="5700.56"/>
    <n v="5624.17"/>
    <x v="1"/>
    <x v="8"/>
  </r>
  <r>
    <n v="726680"/>
    <n v="3781587565"/>
    <x v="0"/>
    <s v="25-45"/>
    <x v="349"/>
    <x v="3"/>
    <x v="1"/>
    <s v="NO DISCOUNT"/>
    <n v="0"/>
    <n v="4125.3999999999996"/>
    <n v="4125.3999999999996"/>
    <x v="1"/>
    <x v="1"/>
  </r>
  <r>
    <n v="427626"/>
    <n v="7381555874"/>
    <x v="2"/>
    <s v="45-60"/>
    <x v="350"/>
    <x v="4"/>
    <x v="1"/>
    <s v="NO DISCOUNT"/>
    <n v="0"/>
    <n v="921.03"/>
    <n v="921.03"/>
    <x v="4"/>
    <x v="1"/>
  </r>
  <r>
    <n v="512176"/>
    <n v="7422005186"/>
    <x v="1"/>
    <s v="under 18"/>
    <x v="351"/>
    <x v="0"/>
    <x v="0"/>
    <s v="WELCOME5"/>
    <n v="351.43"/>
    <n v="1826.58"/>
    <n v="1475.15"/>
    <x v="4"/>
    <x v="6"/>
  </r>
  <r>
    <n v="513586"/>
    <n v="6225875616"/>
    <x v="2"/>
    <s v="25-45"/>
    <x v="352"/>
    <x v="6"/>
    <x v="1"/>
    <s v="NO DISCOUNT"/>
    <n v="0"/>
    <n v="1005.97"/>
    <n v="1005.97"/>
    <x v="1"/>
    <x v="1"/>
  </r>
  <r>
    <n v="770139"/>
    <n v="2535601321"/>
    <x v="2"/>
    <s v="45-60"/>
    <x v="353"/>
    <x v="6"/>
    <x v="1"/>
    <s v="NO DISCOUNT"/>
    <n v="0"/>
    <n v="4046.09"/>
    <n v="4046.09"/>
    <x v="0"/>
    <x v="1"/>
  </r>
  <r>
    <n v="902059"/>
    <n v="3748264952"/>
    <x v="0"/>
    <s v="60 and above"/>
    <x v="354"/>
    <x v="1"/>
    <x v="0"/>
    <s v="FESTIVE50"/>
    <n v="220.39"/>
    <n v="4935.54"/>
    <n v="4715.1499999999996"/>
    <x v="0"/>
    <x v="8"/>
  </r>
  <r>
    <n v="270557"/>
    <n v="9264884678"/>
    <x v="1"/>
    <s v="45-60"/>
    <x v="355"/>
    <x v="4"/>
    <x v="0"/>
    <s v="WELCOME5"/>
    <n v="385.36"/>
    <n v="246.81"/>
    <n v="-138.55000000000001"/>
    <x v="1"/>
    <x v="1"/>
  </r>
  <r>
    <n v="381356"/>
    <n v="3543155549"/>
    <x v="1"/>
    <s v="18-25"/>
    <x v="94"/>
    <x v="6"/>
    <x v="1"/>
    <s v="NO DISCOUNT"/>
    <n v="0"/>
    <n v="4913.74"/>
    <n v="4913.74"/>
    <x v="0"/>
    <x v="7"/>
  </r>
  <r>
    <n v="298866"/>
    <n v="7120818946"/>
    <x v="0"/>
    <s v="25-45"/>
    <x v="356"/>
    <x v="2"/>
    <x v="0"/>
    <s v="SAVE10"/>
    <n v="199.39"/>
    <n v="4181.7299999999996"/>
    <n v="3982.34"/>
    <x v="7"/>
    <x v="8"/>
  </r>
  <r>
    <n v="446228"/>
    <n v="3211387246"/>
    <x v="2"/>
    <s v="18-25"/>
    <x v="177"/>
    <x v="1"/>
    <x v="0"/>
    <s v="SEASONALOFFER21"/>
    <n v="423.45"/>
    <n v="5430.94"/>
    <n v="5007.49"/>
    <x v="1"/>
    <x v="0"/>
  </r>
  <r>
    <n v="747224"/>
    <n v="6131267159"/>
    <x v="1"/>
    <s v="45-60"/>
    <x v="357"/>
    <x v="1"/>
    <x v="1"/>
    <s v="NO DISCOUNT"/>
    <n v="0"/>
    <n v="682.14"/>
    <n v="682.14"/>
    <x v="0"/>
    <x v="1"/>
  </r>
  <r>
    <n v="177312"/>
    <n v="8804053782"/>
    <x v="0"/>
    <s v="25-45"/>
    <x v="358"/>
    <x v="8"/>
    <x v="1"/>
    <s v="NO DISCOUNT"/>
    <n v="0"/>
    <n v="628.94000000000005"/>
    <n v="628.94000000000005"/>
    <x v="0"/>
    <x v="11"/>
  </r>
  <r>
    <n v="242592"/>
    <n v="3616477635"/>
    <x v="0"/>
    <s v="18-25"/>
    <x v="0"/>
    <x v="6"/>
    <x v="1"/>
    <s v="NO DISCOUNT"/>
    <n v="0"/>
    <n v="4012.21"/>
    <n v="4012.21"/>
    <x v="4"/>
    <x v="6"/>
  </r>
  <r>
    <n v="745226"/>
    <n v="3507110043"/>
    <x v="0"/>
    <s v="under 18"/>
    <x v="359"/>
    <x v="1"/>
    <x v="1"/>
    <s v="NO DISCOUNT"/>
    <n v="0"/>
    <n v="4795.3599999999997"/>
    <n v="4795.3599999999997"/>
    <x v="1"/>
    <x v="10"/>
  </r>
  <r>
    <n v="894143"/>
    <n v="1456007305"/>
    <x v="2"/>
    <s v="18-25"/>
    <x v="360"/>
    <x v="0"/>
    <x v="1"/>
    <s v="NO DISCOUNT"/>
    <n v="0"/>
    <n v="2685.75"/>
    <n v="2685.75"/>
    <x v="6"/>
    <x v="0"/>
  </r>
  <r>
    <n v="590012"/>
    <n v="7342039712"/>
    <x v="1"/>
    <s v="18-25"/>
    <x v="361"/>
    <x v="6"/>
    <x v="1"/>
    <s v="NO DISCOUNT"/>
    <n v="0"/>
    <n v="6119.67"/>
    <n v="6119.67"/>
    <x v="4"/>
    <x v="2"/>
  </r>
  <r>
    <n v="991799"/>
    <n v="5949064733"/>
    <x v="2"/>
    <s v="45-60"/>
    <x v="362"/>
    <x v="0"/>
    <x v="1"/>
    <s v="NO DISCOUNT"/>
    <n v="0"/>
    <n v="3728.68"/>
    <n v="3728.68"/>
    <x v="1"/>
    <x v="1"/>
  </r>
  <r>
    <n v="101526"/>
    <n v="8885327450"/>
    <x v="1"/>
    <s v="18-25"/>
    <x v="172"/>
    <x v="0"/>
    <x v="0"/>
    <s v="WELCOME5"/>
    <n v="342.54"/>
    <n v="7724.59"/>
    <n v="7382.05"/>
    <x v="1"/>
    <x v="2"/>
  </r>
  <r>
    <n v="110461"/>
    <n v="2272967392"/>
    <x v="1"/>
    <s v="45-60"/>
    <x v="363"/>
    <x v="6"/>
    <x v="1"/>
    <s v="NO DISCOUNT"/>
    <n v="0"/>
    <n v="4275.1000000000004"/>
    <n v="4275.1000000000004"/>
    <x v="4"/>
    <x v="7"/>
  </r>
  <r>
    <n v="714048"/>
    <n v="4601779423"/>
    <x v="0"/>
    <s v="25-45"/>
    <x v="364"/>
    <x v="4"/>
    <x v="0"/>
    <s v="NEWYEARS"/>
    <n v="75.47"/>
    <n v="1625.45"/>
    <n v="1549.98"/>
    <x v="6"/>
    <x v="8"/>
  </r>
  <r>
    <n v="597775"/>
    <n v="5400781301"/>
    <x v="2"/>
    <s v="18-25"/>
    <x v="60"/>
    <x v="2"/>
    <x v="0"/>
    <s v="SAVE10"/>
    <n v="64.540000000000006"/>
    <n v="5737.24"/>
    <n v="5672.7"/>
    <x v="0"/>
    <x v="11"/>
  </r>
  <r>
    <n v="871667"/>
    <n v="4969742424"/>
    <x v="1"/>
    <s v="18-25"/>
    <x v="365"/>
    <x v="2"/>
    <x v="1"/>
    <s v="NO DISCOUNT"/>
    <n v="0"/>
    <n v="1422.81"/>
    <n v="1422.81"/>
    <x v="1"/>
    <x v="7"/>
  </r>
  <r>
    <n v="858510"/>
    <n v="2893293526"/>
    <x v="2"/>
    <s v="25-45"/>
    <x v="366"/>
    <x v="0"/>
    <x v="1"/>
    <s v="NO DISCOUNT"/>
    <n v="0"/>
    <n v="5221.03"/>
    <n v="5221.03"/>
    <x v="0"/>
    <x v="11"/>
  </r>
  <r>
    <n v="314447"/>
    <n v="6710852405"/>
    <x v="0"/>
    <s v="45-60"/>
    <x v="367"/>
    <x v="0"/>
    <x v="0"/>
    <s v="WELCOME5"/>
    <n v="367.08"/>
    <n v="4113.78"/>
    <n v="3746.7"/>
    <x v="1"/>
    <x v="6"/>
  </r>
  <r>
    <n v="558506"/>
    <n v="3502730449"/>
    <x v="1"/>
    <s v="60 and above"/>
    <x v="368"/>
    <x v="6"/>
    <x v="0"/>
    <s v="WELCOME5"/>
    <n v="83.51"/>
    <n v="5420.25"/>
    <n v="5336.74"/>
    <x v="5"/>
    <x v="2"/>
  </r>
  <r>
    <n v="672289"/>
    <n v="4534607014"/>
    <x v="0"/>
    <s v="18-25"/>
    <x v="369"/>
    <x v="0"/>
    <x v="1"/>
    <s v="NO DISCOUNT"/>
    <n v="0"/>
    <n v="214.19"/>
    <n v="214.19"/>
    <x v="0"/>
    <x v="8"/>
  </r>
  <r>
    <n v="423766"/>
    <n v="9020432932"/>
    <x v="2"/>
    <s v="18-25"/>
    <x v="370"/>
    <x v="0"/>
    <x v="1"/>
    <s v="NO DISCOUNT"/>
    <n v="0"/>
    <n v="3053.97"/>
    <n v="3053.97"/>
    <x v="0"/>
    <x v="8"/>
  </r>
  <r>
    <n v="103872"/>
    <n v="4442125915"/>
    <x v="1"/>
    <s v="25-45"/>
    <x v="371"/>
    <x v="0"/>
    <x v="0"/>
    <s v="SAVE10"/>
    <n v="121.72"/>
    <n v="3479.93"/>
    <n v="3358.21"/>
    <x v="4"/>
    <x v="12"/>
  </r>
  <r>
    <n v="492722"/>
    <n v="7583655883"/>
    <x v="0"/>
    <s v="18-25"/>
    <x v="96"/>
    <x v="0"/>
    <x v="0"/>
    <s v="WELCOME5"/>
    <n v="328.23"/>
    <n v="2575.71"/>
    <n v="2247.48"/>
    <x v="0"/>
    <x v="2"/>
  </r>
  <r>
    <n v="774219"/>
    <n v="3784372189"/>
    <x v="2"/>
    <s v="25-45"/>
    <x v="372"/>
    <x v="7"/>
    <x v="0"/>
    <s v="WELCOME5"/>
    <n v="357.15"/>
    <n v="1962.52"/>
    <n v="1605.37"/>
    <x v="0"/>
    <x v="1"/>
  </r>
  <r>
    <n v="200195"/>
    <n v="7552325341"/>
    <x v="1"/>
    <s v="45-60"/>
    <x v="373"/>
    <x v="6"/>
    <x v="1"/>
    <s v="NO DISCOUNT"/>
    <n v="0"/>
    <n v="2498.96"/>
    <n v="2498.96"/>
    <x v="0"/>
    <x v="11"/>
  </r>
  <r>
    <n v="991703"/>
    <n v="8093088224"/>
    <x v="1"/>
    <s v="18-25"/>
    <x v="374"/>
    <x v="0"/>
    <x v="0"/>
    <s v="NEWYEARS"/>
    <n v="480.32"/>
    <n v="2462.5700000000002"/>
    <n v="1982.25"/>
    <x v="3"/>
    <x v="1"/>
  </r>
  <r>
    <n v="994343"/>
    <n v="9608672665"/>
    <x v="1"/>
    <s v="18-25"/>
    <x v="375"/>
    <x v="0"/>
    <x v="0"/>
    <s v="NEWYEARS"/>
    <n v="422.94"/>
    <n v="4852.53"/>
    <n v="4429.59"/>
    <x v="1"/>
    <x v="0"/>
  </r>
  <r>
    <n v="366121"/>
    <n v="6419777398"/>
    <x v="1"/>
    <s v="18-25"/>
    <x v="376"/>
    <x v="8"/>
    <x v="1"/>
    <s v="NO DISCOUNT"/>
    <n v="0"/>
    <n v="367.13"/>
    <n v="367.13"/>
    <x v="4"/>
    <x v="1"/>
  </r>
  <r>
    <n v="385166"/>
    <n v="7404978653"/>
    <x v="0"/>
    <s v="25-45"/>
    <x v="377"/>
    <x v="5"/>
    <x v="1"/>
    <s v="NO DISCOUNT"/>
    <n v="0"/>
    <n v="2552.42"/>
    <n v="2552.42"/>
    <x v="1"/>
    <x v="2"/>
  </r>
  <r>
    <n v="696613"/>
    <n v="5262403017"/>
    <x v="1"/>
    <s v="25-45"/>
    <x v="378"/>
    <x v="1"/>
    <x v="0"/>
    <s v="SAVE10"/>
    <n v="313.52"/>
    <n v="4099.42"/>
    <n v="3785.9"/>
    <x v="0"/>
    <x v="1"/>
  </r>
  <r>
    <n v="615929"/>
    <n v="3759776110"/>
    <x v="1"/>
    <s v="25-45"/>
    <x v="319"/>
    <x v="6"/>
    <x v="1"/>
    <s v="NO DISCOUNT"/>
    <n v="0"/>
    <n v="5676.52"/>
    <n v="5676.52"/>
    <x v="0"/>
    <x v="7"/>
  </r>
  <r>
    <n v="508875"/>
    <n v="3532530033"/>
    <x v="1"/>
    <s v="18-25"/>
    <x v="379"/>
    <x v="4"/>
    <x v="1"/>
    <s v="NO DISCOUNT"/>
    <n v="0"/>
    <n v="5218.6400000000003"/>
    <n v="5218.6400000000003"/>
    <x v="0"/>
    <x v="2"/>
  </r>
  <r>
    <n v="510950"/>
    <n v="1530390644"/>
    <x v="0"/>
    <s v="45-60"/>
    <x v="380"/>
    <x v="6"/>
    <x v="1"/>
    <s v="NO DISCOUNT"/>
    <n v="0"/>
    <n v="7046.22"/>
    <n v="7046.22"/>
    <x v="0"/>
    <x v="13"/>
  </r>
  <r>
    <n v="829716"/>
    <n v="1056662473"/>
    <x v="1"/>
    <s v="under 18"/>
    <x v="381"/>
    <x v="6"/>
    <x v="0"/>
    <s v="SEASONALOFFER21"/>
    <n v="386.73"/>
    <n v="5098.7299999999996"/>
    <n v="4712"/>
    <x v="0"/>
    <x v="7"/>
  </r>
  <r>
    <n v="907868"/>
    <n v="3686777209"/>
    <x v="0"/>
    <s v="18-25"/>
    <x v="382"/>
    <x v="3"/>
    <x v="1"/>
    <s v="NO DISCOUNT"/>
    <n v="0"/>
    <n v="1704.27"/>
    <n v="1704.27"/>
    <x v="3"/>
    <x v="8"/>
  </r>
  <r>
    <n v="898977"/>
    <n v="2182134112"/>
    <x v="2"/>
    <s v="45-60"/>
    <x v="368"/>
    <x v="6"/>
    <x v="1"/>
    <s v="NO DISCOUNT"/>
    <n v="0"/>
    <n v="3686.25"/>
    <n v="3686.25"/>
    <x v="0"/>
    <x v="3"/>
  </r>
  <r>
    <n v="512040"/>
    <n v="5393569960"/>
    <x v="0"/>
    <s v="25-45"/>
    <x v="148"/>
    <x v="0"/>
    <x v="1"/>
    <s v="NO DISCOUNT"/>
    <n v="0"/>
    <n v="2164.44"/>
    <n v="2164.44"/>
    <x v="0"/>
    <x v="1"/>
  </r>
  <r>
    <n v="254021"/>
    <n v="1778068163"/>
    <x v="0"/>
    <s v="18-25"/>
    <x v="383"/>
    <x v="6"/>
    <x v="1"/>
    <s v="NO DISCOUNT"/>
    <n v="0"/>
    <n v="3864.6"/>
    <n v="3864.6"/>
    <x v="2"/>
    <x v="1"/>
  </r>
  <r>
    <n v="665847"/>
    <n v="4654940176"/>
    <x v="1"/>
    <s v="25-45"/>
    <x v="384"/>
    <x v="1"/>
    <x v="0"/>
    <s v="SAVE10"/>
    <n v="370.49"/>
    <n v="3714.2"/>
    <n v="3343.71"/>
    <x v="0"/>
    <x v="8"/>
  </r>
  <r>
    <n v="151605"/>
    <n v="3597287435"/>
    <x v="2"/>
    <s v="45-60"/>
    <x v="12"/>
    <x v="0"/>
    <x v="1"/>
    <s v="NO DISCOUNT"/>
    <n v="0"/>
    <n v="4308.1499999999996"/>
    <n v="4308.1499999999996"/>
    <x v="4"/>
    <x v="1"/>
  </r>
  <r>
    <n v="670807"/>
    <n v="5362300755"/>
    <x v="1"/>
    <s v="45-60"/>
    <x v="385"/>
    <x v="0"/>
    <x v="0"/>
    <s v="WELCOME5"/>
    <n v="138.38999999999999"/>
    <n v="3466.69"/>
    <n v="3328.3"/>
    <x v="1"/>
    <x v="6"/>
  </r>
  <r>
    <n v="129576"/>
    <n v="4807211539"/>
    <x v="2"/>
    <s v="25-45"/>
    <x v="386"/>
    <x v="4"/>
    <x v="1"/>
    <s v="NO DISCOUNT"/>
    <n v="0"/>
    <n v="4268.68"/>
    <n v="4268.68"/>
    <x v="6"/>
    <x v="11"/>
  </r>
  <r>
    <n v="599250"/>
    <n v="1839947796"/>
    <x v="2"/>
    <s v="60 and above"/>
    <x v="387"/>
    <x v="6"/>
    <x v="0"/>
    <s v="SEASONALOFFER21"/>
    <n v="150.49"/>
    <n v="5316.54"/>
    <n v="5166.05"/>
    <x v="1"/>
    <x v="1"/>
  </r>
  <r>
    <n v="841935"/>
    <n v="8784139619"/>
    <x v="0"/>
    <s v="25-45"/>
    <x v="388"/>
    <x v="6"/>
    <x v="0"/>
    <s v="SAVE10"/>
    <n v="412.94"/>
    <n v="3268.83"/>
    <n v="2855.89"/>
    <x v="0"/>
    <x v="8"/>
  </r>
  <r>
    <n v="852570"/>
    <n v="9180617906"/>
    <x v="2"/>
    <s v="25-45"/>
    <x v="389"/>
    <x v="0"/>
    <x v="0"/>
    <s v="SAVE10"/>
    <n v="267.58"/>
    <n v="2268.19"/>
    <n v="2000.61"/>
    <x v="0"/>
    <x v="7"/>
  </r>
  <r>
    <n v="630734"/>
    <n v="5891507428"/>
    <x v="2"/>
    <s v="18-25"/>
    <x v="390"/>
    <x v="0"/>
    <x v="1"/>
    <s v="NO DISCOUNT"/>
    <n v="0"/>
    <n v="2540.31"/>
    <n v="2540.31"/>
    <x v="0"/>
    <x v="0"/>
  </r>
  <r>
    <n v="400878"/>
    <n v="7232995309"/>
    <x v="2"/>
    <s v="18-25"/>
    <x v="391"/>
    <x v="0"/>
    <x v="1"/>
    <s v="NO DISCOUNT"/>
    <n v="0"/>
    <n v="5080.95"/>
    <n v="5080.95"/>
    <x v="1"/>
    <x v="13"/>
  </r>
  <r>
    <n v="875201"/>
    <n v="8022513504"/>
    <x v="1"/>
    <s v="25-45"/>
    <x v="392"/>
    <x v="6"/>
    <x v="0"/>
    <s v="SEASONALOFFER21"/>
    <n v="219.35"/>
    <n v="6370.18"/>
    <n v="6150.83"/>
    <x v="0"/>
    <x v="7"/>
  </r>
  <r>
    <n v="503754"/>
    <n v="6697839141"/>
    <x v="1"/>
    <s v="45-60"/>
    <x v="393"/>
    <x v="4"/>
    <x v="0"/>
    <s v="SEASONALOFFER21"/>
    <n v="112.54"/>
    <n v="900.76"/>
    <n v="788.22"/>
    <x v="0"/>
    <x v="6"/>
  </r>
  <r>
    <n v="838927"/>
    <n v="8570481902"/>
    <x v="1"/>
    <s v="18-25"/>
    <x v="394"/>
    <x v="0"/>
    <x v="0"/>
    <s v="FESTIVE50"/>
    <n v="236.58"/>
    <n v="2014.33"/>
    <n v="1777.75"/>
    <x v="0"/>
    <x v="7"/>
  </r>
  <r>
    <n v="275018"/>
    <n v="7861474450"/>
    <x v="1"/>
    <s v="18-25"/>
    <x v="384"/>
    <x v="1"/>
    <x v="0"/>
    <s v="NEWYEARS"/>
    <n v="107.55"/>
    <n v="3446.09"/>
    <n v="3338.54"/>
    <x v="0"/>
    <x v="6"/>
  </r>
  <r>
    <n v="320039"/>
    <n v="9196159879"/>
    <x v="1"/>
    <s v="18-25"/>
    <x v="395"/>
    <x v="0"/>
    <x v="0"/>
    <s v="SEASONALOFFER21"/>
    <n v="232.46"/>
    <n v="6936.69"/>
    <n v="6704.23"/>
    <x v="1"/>
    <x v="2"/>
  </r>
  <r>
    <n v="522060"/>
    <n v="9803393159"/>
    <x v="2"/>
    <s v="45-60"/>
    <x v="7"/>
    <x v="2"/>
    <x v="1"/>
    <s v="NO DISCOUNT"/>
    <n v="0"/>
    <n v="7013.84"/>
    <n v="7013.84"/>
    <x v="6"/>
    <x v="2"/>
  </r>
  <r>
    <n v="780715"/>
    <n v="6189517187"/>
    <x v="0"/>
    <s v="25-45"/>
    <x v="396"/>
    <x v="1"/>
    <x v="1"/>
    <s v="NO DISCOUNT"/>
    <n v="0"/>
    <n v="1107.97"/>
    <n v="1107.97"/>
    <x v="0"/>
    <x v="4"/>
  </r>
  <r>
    <n v="823255"/>
    <n v="2600638537"/>
    <x v="2"/>
    <s v="25-45"/>
    <x v="397"/>
    <x v="6"/>
    <x v="0"/>
    <s v="NEWYEARS"/>
    <n v="436.82"/>
    <n v="3712.48"/>
    <n v="3275.66"/>
    <x v="0"/>
    <x v="8"/>
  </r>
  <r>
    <n v="446377"/>
    <n v="5576646185"/>
    <x v="2"/>
    <s v="45-60"/>
    <x v="398"/>
    <x v="6"/>
    <x v="0"/>
    <s v="NEWYEARS"/>
    <n v="346.73"/>
    <n v="7284.65"/>
    <n v="6937.92"/>
    <x v="0"/>
    <x v="7"/>
  </r>
  <r>
    <n v="888992"/>
    <n v="8109529734"/>
    <x v="2"/>
    <s v="25-45"/>
    <x v="363"/>
    <x v="4"/>
    <x v="1"/>
    <s v="NO DISCOUNT"/>
    <n v="0"/>
    <n v="5491.13"/>
    <n v="5491.13"/>
    <x v="5"/>
    <x v="1"/>
  </r>
  <r>
    <n v="271139"/>
    <n v="7093841668"/>
    <x v="1"/>
    <s v="45-60"/>
    <x v="399"/>
    <x v="8"/>
    <x v="0"/>
    <s v="SEASONALOFFER21"/>
    <n v="164.53"/>
    <n v="4105.95"/>
    <n v="3941.42"/>
    <x v="1"/>
    <x v="2"/>
  </r>
  <r>
    <n v="194782"/>
    <n v="3123961937"/>
    <x v="0"/>
    <s v="18-25"/>
    <x v="400"/>
    <x v="4"/>
    <x v="0"/>
    <s v="FESTIVE50"/>
    <n v="103.02"/>
    <n v="221.87"/>
    <n v="118.85"/>
    <x v="1"/>
    <x v="4"/>
  </r>
  <r>
    <n v="781516"/>
    <n v="9498182921"/>
    <x v="2"/>
    <s v="18-25"/>
    <x v="401"/>
    <x v="1"/>
    <x v="1"/>
    <s v="NO DISCOUNT"/>
    <n v="0"/>
    <n v="1629.92"/>
    <n v="1629.92"/>
    <x v="0"/>
    <x v="0"/>
  </r>
  <r>
    <n v="339357"/>
    <n v="7517978795"/>
    <x v="1"/>
    <s v="25-45"/>
    <x v="402"/>
    <x v="1"/>
    <x v="1"/>
    <s v="NO DISCOUNT"/>
    <n v="0"/>
    <n v="3421.53"/>
    <n v="3421.53"/>
    <x v="0"/>
    <x v="4"/>
  </r>
  <r>
    <n v="492136"/>
    <n v="1662530809"/>
    <x v="1"/>
    <s v="18-25"/>
    <x v="403"/>
    <x v="1"/>
    <x v="1"/>
    <s v="NO DISCOUNT"/>
    <n v="0"/>
    <n v="4685.8100000000004"/>
    <n v="4685.8100000000004"/>
    <x v="1"/>
    <x v="2"/>
  </r>
  <r>
    <n v="349532"/>
    <n v="7325465784"/>
    <x v="2"/>
    <s v="25-45"/>
    <x v="404"/>
    <x v="4"/>
    <x v="0"/>
    <s v="NEWYEARS"/>
    <n v="278.75"/>
    <n v="4705.46"/>
    <n v="4426.71"/>
    <x v="4"/>
    <x v="1"/>
  </r>
  <r>
    <n v="780488"/>
    <n v="3022927661"/>
    <x v="1"/>
    <s v="25-45"/>
    <x v="405"/>
    <x v="2"/>
    <x v="0"/>
    <s v="SAVE10"/>
    <n v="262.25"/>
    <n v="3443.84"/>
    <n v="3181.59"/>
    <x v="0"/>
    <x v="7"/>
  </r>
  <r>
    <n v="869735"/>
    <n v="2248665943"/>
    <x v="0"/>
    <s v="under 18"/>
    <x v="406"/>
    <x v="0"/>
    <x v="1"/>
    <s v="NO DISCOUNT"/>
    <n v="0"/>
    <n v="3096.45"/>
    <n v="3096.45"/>
    <x v="0"/>
    <x v="2"/>
  </r>
  <r>
    <n v="224247"/>
    <n v="8088604632"/>
    <x v="0"/>
    <s v="45-60"/>
    <x v="407"/>
    <x v="7"/>
    <x v="1"/>
    <s v="NO DISCOUNT"/>
    <n v="0"/>
    <n v="2563.89"/>
    <n v="2563.89"/>
    <x v="0"/>
    <x v="8"/>
  </r>
  <r>
    <n v="703027"/>
    <n v="6376535626"/>
    <x v="2"/>
    <s v="18-25"/>
    <x v="298"/>
    <x v="8"/>
    <x v="0"/>
    <s v="FESTIVE50"/>
    <n v="353.31"/>
    <n v="2292.64"/>
    <n v="1939.33"/>
    <x v="1"/>
    <x v="11"/>
  </r>
  <r>
    <n v="198246"/>
    <n v="8425140298"/>
    <x v="2"/>
    <s v="25-45"/>
    <x v="408"/>
    <x v="0"/>
    <x v="1"/>
    <s v="NO DISCOUNT"/>
    <n v="0"/>
    <n v="3441.36"/>
    <n v="3441.36"/>
    <x v="0"/>
    <x v="0"/>
  </r>
  <r>
    <n v="977784"/>
    <n v="5431005078"/>
    <x v="0"/>
    <s v="25-45"/>
    <x v="409"/>
    <x v="2"/>
    <x v="1"/>
    <s v="NO DISCOUNT"/>
    <n v="0"/>
    <n v="2569.35"/>
    <n v="2569.35"/>
    <x v="2"/>
    <x v="4"/>
  </r>
  <r>
    <n v="497607"/>
    <n v="8689905174"/>
    <x v="0"/>
    <s v="25-45"/>
    <x v="72"/>
    <x v="7"/>
    <x v="0"/>
    <s v="SEASONALOFFER21"/>
    <n v="97.91"/>
    <n v="518.61"/>
    <n v="420.7"/>
    <x v="1"/>
    <x v="8"/>
  </r>
  <r>
    <n v="418801"/>
    <n v="4434727725"/>
    <x v="1"/>
    <s v="18-25"/>
    <x v="410"/>
    <x v="0"/>
    <x v="1"/>
    <s v="NO DISCOUNT"/>
    <n v="0"/>
    <n v="4448.79"/>
    <n v="4448.79"/>
    <x v="1"/>
    <x v="1"/>
  </r>
  <r>
    <n v="906411"/>
    <n v="9726862845"/>
    <x v="1"/>
    <s v="60 and above"/>
    <x v="411"/>
    <x v="5"/>
    <x v="1"/>
    <s v="NO DISCOUNT"/>
    <n v="0"/>
    <n v="4700.5600000000004"/>
    <n v="4700.5600000000004"/>
    <x v="5"/>
    <x v="1"/>
  </r>
  <r>
    <n v="416282"/>
    <n v="7579940019"/>
    <x v="1"/>
    <s v="45-60"/>
    <x v="412"/>
    <x v="0"/>
    <x v="0"/>
    <s v="SAVE10"/>
    <n v="235.59"/>
    <n v="1899.77"/>
    <n v="1664.18"/>
    <x v="0"/>
    <x v="2"/>
  </r>
  <r>
    <n v="250540"/>
    <n v="2990636104"/>
    <x v="0"/>
    <s v="18-25"/>
    <x v="33"/>
    <x v="4"/>
    <x v="1"/>
    <s v="NO DISCOUNT"/>
    <n v="0"/>
    <n v="570.61"/>
    <n v="570.61"/>
    <x v="0"/>
    <x v="0"/>
  </r>
  <r>
    <n v="566895"/>
    <n v="5514597408"/>
    <x v="1"/>
    <s v="18-25"/>
    <x v="413"/>
    <x v="1"/>
    <x v="0"/>
    <s v="SEASONALOFFER21"/>
    <n v="139.85"/>
    <n v="4088.51"/>
    <n v="3948.66"/>
    <x v="3"/>
    <x v="10"/>
  </r>
  <r>
    <n v="646302"/>
    <n v="2204154538"/>
    <x v="0"/>
    <s v="25-45"/>
    <x v="203"/>
    <x v="0"/>
    <x v="0"/>
    <s v="NEWYEARS"/>
    <n v="85.32"/>
    <n v="5264.08"/>
    <n v="5178.76"/>
    <x v="0"/>
    <x v="8"/>
  </r>
  <r>
    <n v="420580"/>
    <n v="3435867338"/>
    <x v="1"/>
    <s v="under 18"/>
    <x v="414"/>
    <x v="5"/>
    <x v="1"/>
    <s v="NO DISCOUNT"/>
    <n v="0"/>
    <n v="3197.69"/>
    <n v="3197.69"/>
    <x v="1"/>
    <x v="1"/>
  </r>
  <r>
    <n v="385980"/>
    <n v="2919148512"/>
    <x v="2"/>
    <s v="45-60"/>
    <x v="415"/>
    <x v="1"/>
    <x v="0"/>
    <s v="SAVE10"/>
    <n v="107.71"/>
    <n v="4211.72"/>
    <n v="4104.01"/>
    <x v="7"/>
    <x v="2"/>
  </r>
  <r>
    <n v="596265"/>
    <n v="4895472923"/>
    <x v="1"/>
    <s v="25-45"/>
    <x v="416"/>
    <x v="6"/>
    <x v="0"/>
    <s v="SEASONALOFFER21"/>
    <n v="104.17"/>
    <n v="3062.78"/>
    <n v="2958.61"/>
    <x v="1"/>
    <x v="0"/>
  </r>
  <r>
    <n v="223179"/>
    <n v="3944737340"/>
    <x v="2"/>
    <s v="25-45"/>
    <x v="417"/>
    <x v="0"/>
    <x v="1"/>
    <s v="NO DISCOUNT"/>
    <n v="0"/>
    <n v="1279.8"/>
    <n v="1279.8"/>
    <x v="0"/>
    <x v="2"/>
  </r>
  <r>
    <n v="541875"/>
    <n v="1122738790"/>
    <x v="0"/>
    <s v="25-45"/>
    <x v="196"/>
    <x v="1"/>
    <x v="0"/>
    <s v="SEASONALOFFER21"/>
    <n v="388.49"/>
    <n v="2304.7600000000002"/>
    <n v="1916.27"/>
    <x v="1"/>
    <x v="1"/>
  </r>
  <r>
    <n v="915044"/>
    <n v="5886415510"/>
    <x v="0"/>
    <s v="25-45"/>
    <x v="68"/>
    <x v="0"/>
    <x v="0"/>
    <s v="SAVE10"/>
    <n v="411.84"/>
    <n v="3198.83"/>
    <n v="2786.99"/>
    <x v="0"/>
    <x v="2"/>
  </r>
  <r>
    <n v="859233"/>
    <n v="9559039917"/>
    <x v="0"/>
    <s v="25-45"/>
    <x v="418"/>
    <x v="4"/>
    <x v="1"/>
    <s v="NO DISCOUNT"/>
    <n v="0"/>
    <n v="2701.7"/>
    <n v="2701.7"/>
    <x v="4"/>
    <x v="8"/>
  </r>
  <r>
    <n v="147801"/>
    <n v="2521910304"/>
    <x v="1"/>
    <s v="18-25"/>
    <x v="3"/>
    <x v="1"/>
    <x v="0"/>
    <s v="SEASONALOFFER21"/>
    <n v="360.74"/>
    <n v="602.21"/>
    <n v="241.47"/>
    <x v="1"/>
    <x v="6"/>
  </r>
  <r>
    <n v="877007"/>
    <n v="3731709915"/>
    <x v="1"/>
    <s v="18-25"/>
    <x v="419"/>
    <x v="6"/>
    <x v="1"/>
    <s v="NO DISCOUNT"/>
    <n v="0"/>
    <n v="2091.94"/>
    <n v="2091.94"/>
    <x v="1"/>
    <x v="2"/>
  </r>
  <r>
    <n v="358462"/>
    <n v="9557538383"/>
    <x v="0"/>
    <s v="18-25"/>
    <x v="420"/>
    <x v="4"/>
    <x v="0"/>
    <s v="WELCOME5"/>
    <n v="178.07"/>
    <n v="2244.6999999999998"/>
    <n v="2066.63"/>
    <x v="7"/>
    <x v="7"/>
  </r>
  <r>
    <n v="838253"/>
    <n v="3825803399"/>
    <x v="1"/>
    <s v="25-45"/>
    <x v="421"/>
    <x v="2"/>
    <x v="0"/>
    <s v="WELCOME5"/>
    <n v="338.26"/>
    <n v="5235.24"/>
    <n v="4896.9799999999996"/>
    <x v="3"/>
    <x v="2"/>
  </r>
  <r>
    <n v="583122"/>
    <n v="5699610216"/>
    <x v="1"/>
    <s v="18-25"/>
    <x v="422"/>
    <x v="6"/>
    <x v="0"/>
    <s v="SEASONALOFFER21"/>
    <n v="343.86"/>
    <n v="3559.64"/>
    <n v="3215.78"/>
    <x v="6"/>
    <x v="8"/>
  </r>
  <r>
    <n v="453215"/>
    <n v="2474967725"/>
    <x v="0"/>
    <s v="25-45"/>
    <x v="423"/>
    <x v="1"/>
    <x v="1"/>
    <s v="NO DISCOUNT"/>
    <n v="0"/>
    <n v="2265.7399999999998"/>
    <n v="2265.7399999999998"/>
    <x v="3"/>
    <x v="7"/>
  </r>
  <r>
    <n v="229827"/>
    <n v="8552409831"/>
    <x v="2"/>
    <s v="18-25"/>
    <x v="424"/>
    <x v="0"/>
    <x v="0"/>
    <s v="NEWYEARS"/>
    <n v="228.67"/>
    <n v="674.78"/>
    <n v="446.11"/>
    <x v="0"/>
    <x v="4"/>
  </r>
  <r>
    <n v="213043"/>
    <n v="4889726996"/>
    <x v="1"/>
    <s v="45-60"/>
    <x v="425"/>
    <x v="0"/>
    <x v="1"/>
    <s v="NO DISCOUNT"/>
    <n v="0"/>
    <n v="3305.19"/>
    <n v="3305.19"/>
    <x v="0"/>
    <x v="8"/>
  </r>
  <r>
    <n v="334639"/>
    <n v="1610899978"/>
    <x v="1"/>
    <s v="18-25"/>
    <x v="369"/>
    <x v="4"/>
    <x v="0"/>
    <s v="NEWYEARS"/>
    <n v="427.33"/>
    <n v="348.45"/>
    <n v="-78.88"/>
    <x v="0"/>
    <x v="2"/>
  </r>
  <r>
    <n v="315093"/>
    <n v="3474349799"/>
    <x v="2"/>
    <s v="60 and above"/>
    <x v="426"/>
    <x v="1"/>
    <x v="1"/>
    <s v="NO DISCOUNT"/>
    <n v="0"/>
    <n v="2908.81"/>
    <n v="2908.81"/>
    <x v="1"/>
    <x v="1"/>
  </r>
  <r>
    <n v="676051"/>
    <n v="6011667728"/>
    <x v="2"/>
    <s v="25-45"/>
    <x v="51"/>
    <x v="2"/>
    <x v="1"/>
    <s v="NO DISCOUNT"/>
    <n v="0"/>
    <n v="3401.31"/>
    <n v="3401.31"/>
    <x v="0"/>
    <x v="7"/>
  </r>
  <r>
    <n v="918035"/>
    <n v="2134697810"/>
    <x v="0"/>
    <s v="45-60"/>
    <x v="367"/>
    <x v="1"/>
    <x v="1"/>
    <s v="NO DISCOUNT"/>
    <n v="0"/>
    <n v="2686.49"/>
    <n v="2686.49"/>
    <x v="1"/>
    <x v="1"/>
  </r>
  <r>
    <n v="305222"/>
    <n v="8196836214"/>
    <x v="0"/>
    <s v="45-60"/>
    <x v="427"/>
    <x v="0"/>
    <x v="1"/>
    <s v="NO DISCOUNT"/>
    <n v="0"/>
    <n v="3019.75"/>
    <n v="3019.75"/>
    <x v="6"/>
    <x v="2"/>
  </r>
  <r>
    <n v="333041"/>
    <n v="2477236888"/>
    <x v="2"/>
    <s v="25-45"/>
    <x v="428"/>
    <x v="1"/>
    <x v="0"/>
    <s v="SAVE10"/>
    <n v="296.7"/>
    <n v="950.13"/>
    <n v="653.42999999999995"/>
    <x v="0"/>
    <x v="2"/>
  </r>
  <r>
    <n v="194546"/>
    <n v="7543694402"/>
    <x v="1"/>
    <s v="25-45"/>
    <x v="429"/>
    <x v="0"/>
    <x v="0"/>
    <s v="NEWYEARS"/>
    <n v="240.01"/>
    <n v="2203.94"/>
    <n v="1963.93"/>
    <x v="4"/>
    <x v="11"/>
  </r>
  <r>
    <n v="959943"/>
    <n v="6798623914"/>
    <x v="0"/>
    <s v="25-45"/>
    <x v="209"/>
    <x v="2"/>
    <x v="0"/>
    <s v="NEWYEARS"/>
    <n v="99.66"/>
    <n v="2576.56"/>
    <n v="2476.9"/>
    <x v="6"/>
    <x v="6"/>
  </r>
  <r>
    <n v="236927"/>
    <n v="5639625630"/>
    <x v="0"/>
    <s v="under 18"/>
    <x v="430"/>
    <x v="6"/>
    <x v="0"/>
    <s v="NEWYEARS"/>
    <n v="96.02"/>
    <n v="1746.72"/>
    <n v="1650.7"/>
    <x v="0"/>
    <x v="8"/>
  </r>
  <r>
    <n v="860863"/>
    <n v="5195320378"/>
    <x v="2"/>
    <s v="25-45"/>
    <x v="431"/>
    <x v="0"/>
    <x v="1"/>
    <s v="NO DISCOUNT"/>
    <n v="0"/>
    <n v="4158.8100000000004"/>
    <n v="4158.8100000000004"/>
    <x v="0"/>
    <x v="2"/>
  </r>
  <r>
    <n v="498281"/>
    <n v="3510839232"/>
    <x v="2"/>
    <s v="18-25"/>
    <x v="432"/>
    <x v="1"/>
    <x v="0"/>
    <s v="NEWYEARS"/>
    <n v="399.04"/>
    <n v="513.59"/>
    <n v="114.55"/>
    <x v="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106342-CC88-49AD-8CB3-C225A5A41DB0}"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0">
  <location ref="D3:E18" firstHeaderRow="1" firstDataRow="1" firstDataCol="1"/>
  <pivotFields count="15">
    <pivotField showAll="0"/>
    <pivotField showAll="0"/>
    <pivotField showAll="0">
      <items count="4">
        <item x="0"/>
        <item x="1"/>
        <item x="2"/>
        <item t="default"/>
      </items>
    </pivotField>
    <pivotField showAll="0"/>
    <pivotField numFmtId="14" showAll="0">
      <items count="15">
        <item x="0"/>
        <item x="1"/>
        <item x="2"/>
        <item x="3"/>
        <item x="4"/>
        <item x="5"/>
        <item x="6"/>
        <item x="7"/>
        <item x="8"/>
        <item x="9"/>
        <item x="10"/>
        <item x="11"/>
        <item x="12"/>
        <item x="13"/>
        <item t="default"/>
      </items>
    </pivotField>
    <pivotField showAll="0">
      <items count="10">
        <item x="6"/>
        <item x="5"/>
        <item x="1"/>
        <item x="0"/>
        <item x="4"/>
        <item x="7"/>
        <item x="3"/>
        <item x="2"/>
        <item x="8"/>
        <item t="default"/>
      </items>
    </pivotField>
    <pivotField showAll="0"/>
    <pivotField showAll="0"/>
    <pivotField showAll="0"/>
    <pivotField showAll="0"/>
    <pivotField dataField="1" showAll="0"/>
    <pivotField showAll="0">
      <items count="9">
        <item x="5"/>
        <item x="0"/>
        <item x="1"/>
        <item x="3"/>
        <item x="7"/>
        <item x="4"/>
        <item x="6"/>
        <item x="2"/>
        <item t="default"/>
      </items>
    </pivotField>
    <pivotField axis="axisRow" showAll="0" sortType="ascending">
      <items count="15">
        <item x="13"/>
        <item x="12"/>
        <item x="6"/>
        <item x="3"/>
        <item x="8"/>
        <item x="10"/>
        <item x="11"/>
        <item x="9"/>
        <item x="7"/>
        <item x="2"/>
        <item x="5"/>
        <item x="4"/>
        <item x="1"/>
        <item x="0"/>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15">
    <i>
      <x v="10"/>
    </i>
    <i>
      <x/>
    </i>
    <i>
      <x v="1"/>
    </i>
    <i>
      <x v="3"/>
    </i>
    <i>
      <x v="7"/>
    </i>
    <i>
      <x v="5"/>
    </i>
    <i>
      <x v="11"/>
    </i>
    <i>
      <x v="13"/>
    </i>
    <i>
      <x v="6"/>
    </i>
    <i>
      <x v="2"/>
    </i>
    <i>
      <x v="8"/>
    </i>
    <i>
      <x v="12"/>
    </i>
    <i>
      <x v="4"/>
    </i>
    <i>
      <x v="9"/>
    </i>
    <i t="grand">
      <x/>
    </i>
  </rowItems>
  <colItems count="1">
    <i/>
  </colItems>
  <dataFields count="1">
    <dataField name="Sum of Net Amount" fld="10"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EDA1D2-97F1-48DA-9F3A-8D778494FA93}"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K3:K4" firstHeaderRow="1" firstDataRow="1" firstDataCol="0"/>
  <pivotFields count="15">
    <pivotField showAll="0"/>
    <pivotField showAll="0"/>
    <pivotField showAll="0">
      <items count="4">
        <item x="0"/>
        <item x="1"/>
        <item x="2"/>
        <item t="default"/>
      </items>
    </pivotField>
    <pivotField showAll="0"/>
    <pivotField numFmtId="14" showAll="0">
      <items count="15">
        <item x="0"/>
        <item x="1"/>
        <item x="2"/>
        <item x="3"/>
        <item x="4"/>
        <item x="5"/>
        <item x="6"/>
        <item x="7"/>
        <item x="8"/>
        <item x="9"/>
        <item x="10"/>
        <item x="11"/>
        <item x="12"/>
        <item x="13"/>
        <item t="default"/>
      </items>
    </pivotField>
    <pivotField showAll="0">
      <items count="10">
        <item x="6"/>
        <item x="5"/>
        <item x="1"/>
        <item x="0"/>
        <item x="4"/>
        <item x="7"/>
        <item x="3"/>
        <item x="2"/>
        <item x="8"/>
        <item t="default"/>
      </items>
    </pivotField>
    <pivotField showAll="0"/>
    <pivotField showAll="0"/>
    <pivotField showAll="0"/>
    <pivotField showAll="0"/>
    <pivotField dataField="1" showAll="0"/>
    <pivotField showAll="0">
      <items count="9">
        <item x="5"/>
        <item x="0"/>
        <item x="1"/>
        <item x="3"/>
        <item x="7"/>
        <item x="4"/>
        <item x="6"/>
        <item x="2"/>
        <item t="default"/>
      </items>
    </pivotField>
    <pivotField showAll="0">
      <items count="15">
        <item x="0"/>
        <item x="1"/>
        <item x="4"/>
        <item x="5"/>
        <item x="2"/>
        <item x="7"/>
        <item x="9"/>
        <item x="11"/>
        <item x="10"/>
        <item x="8"/>
        <item x="3"/>
        <item x="6"/>
        <item x="12"/>
        <item x="13"/>
        <item t="default"/>
      </items>
    </pivotField>
    <pivotField showAll="0" defaultSubtotal="0"/>
    <pivotField showAll="0" defaultSubtotal="0"/>
  </pivotFields>
  <rowItems count="1">
    <i/>
  </rowItems>
  <colItems count="1">
    <i/>
  </colItems>
  <dataFields count="1">
    <dataField name="Toatl Sales" fld="10"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375F56-9CF7-42F3-A400-E7E86438C530}"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2">
  <location ref="G14:H21" firstHeaderRow="1" firstDataRow="1" firstDataCol="1"/>
  <pivotFields count="15">
    <pivotField showAll="0"/>
    <pivotField showAll="0"/>
    <pivotField showAll="0">
      <items count="4">
        <item x="0"/>
        <item x="1"/>
        <item x="2"/>
        <item t="default"/>
      </items>
    </pivotField>
    <pivotField showAll="0"/>
    <pivotField axis="axisRow" numFmtId="14" showAll="0">
      <items count="15">
        <item x="0"/>
        <item x="1"/>
        <item x="2"/>
        <item x="3"/>
        <item x="4"/>
        <item x="5"/>
        <item x="6"/>
        <item x="7"/>
        <item x="8"/>
        <item x="9"/>
        <item x="10"/>
        <item x="11"/>
        <item x="12"/>
        <item x="13"/>
        <item t="default"/>
      </items>
    </pivotField>
    <pivotField showAll="0">
      <items count="10">
        <item x="6"/>
        <item x="5"/>
        <item x="1"/>
        <item x="0"/>
        <item x="4"/>
        <item x="7"/>
        <item x="3"/>
        <item x="2"/>
        <item x="8"/>
        <item t="default"/>
      </items>
    </pivotField>
    <pivotField showAll="0"/>
    <pivotField showAll="0"/>
    <pivotField showAll="0"/>
    <pivotField showAll="0"/>
    <pivotField dataField="1" showAll="0"/>
    <pivotField showAll="0">
      <items count="9">
        <item x="5"/>
        <item x="0"/>
        <item x="1"/>
        <item x="3"/>
        <item x="7"/>
        <item x="4"/>
        <item x="6"/>
        <item x="2"/>
        <item t="default"/>
      </items>
    </pivotField>
    <pivotField showAll="0">
      <items count="15">
        <item x="0"/>
        <item x="1"/>
        <item x="4"/>
        <item x="5"/>
        <item x="2"/>
        <item x="7"/>
        <item x="9"/>
        <item x="11"/>
        <item x="10"/>
        <item x="8"/>
        <item x="3"/>
        <item x="6"/>
        <item x="12"/>
        <item x="13"/>
        <item t="default"/>
      </items>
    </pivotField>
    <pivotField axis="axisRow" showAll="0">
      <items count="7">
        <item sd="0" x="0"/>
        <item sd="0" x="1"/>
        <item sd="0" x="2"/>
        <item sd="0" x="3"/>
        <item sd="0" x="4"/>
        <item sd="0" x="5"/>
        <item t="default"/>
      </items>
    </pivotField>
    <pivotField axis="axisRow" showAll="0" sortType="descending">
      <items count="9">
        <item sd="0" x="6"/>
        <item sd="0" x="5"/>
        <item sd="0" x="4"/>
        <item sd="0" x="3"/>
        <item sd="0" x="2"/>
        <item sd="0" x="1"/>
        <item sd="0" x="7"/>
        <item sd="0" x="0"/>
        <item t="default"/>
      </items>
    </pivotField>
  </pivotFields>
  <rowFields count="3">
    <field x="14"/>
    <field x="13"/>
    <field x="4"/>
  </rowFields>
  <rowItems count="7">
    <i>
      <x/>
    </i>
    <i>
      <x v="1"/>
    </i>
    <i>
      <x v="2"/>
    </i>
    <i>
      <x v="3"/>
    </i>
    <i>
      <x v="4"/>
    </i>
    <i>
      <x v="5"/>
    </i>
    <i t="grand">
      <x/>
    </i>
  </rowItems>
  <colItems count="1">
    <i/>
  </colItems>
  <dataFields count="1">
    <dataField name="Sum of Net Amount" fld="10" baseField="0" baseItem="0"/>
  </dataField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422EA1-0554-4C20-A46B-185353D9F65C}" name="PivotTable1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K9:K10" firstHeaderRow="1" firstDataRow="1" firstDataCol="0"/>
  <pivotFields count="15">
    <pivotField dataField="1" showAll="0"/>
    <pivotField showAll="0"/>
    <pivotField showAll="0">
      <items count="4">
        <item x="0"/>
        <item x="1"/>
        <item x="2"/>
        <item t="default"/>
      </items>
    </pivotField>
    <pivotField showAll="0"/>
    <pivotField numFmtId="14" showAll="0">
      <items count="15">
        <item x="0"/>
        <item x="1"/>
        <item x="2"/>
        <item x="3"/>
        <item x="4"/>
        <item x="5"/>
        <item x="6"/>
        <item x="7"/>
        <item x="8"/>
        <item x="9"/>
        <item x="10"/>
        <item x="11"/>
        <item x="12"/>
        <item x="13"/>
        <item t="default"/>
      </items>
    </pivotField>
    <pivotField showAll="0">
      <items count="10">
        <item x="6"/>
        <item x="5"/>
        <item x="1"/>
        <item x="0"/>
        <item x="4"/>
        <item x="7"/>
        <item x="3"/>
        <item x="2"/>
        <item x="8"/>
        <item t="default"/>
      </items>
    </pivotField>
    <pivotField showAll="0"/>
    <pivotField showAll="0"/>
    <pivotField showAll="0"/>
    <pivotField showAll="0"/>
    <pivotField showAll="0"/>
    <pivotField showAll="0">
      <items count="9">
        <item x="5"/>
        <item x="0"/>
        <item x="1"/>
        <item x="3"/>
        <item x="7"/>
        <item x="4"/>
        <item x="6"/>
        <item x="2"/>
        <item t="default"/>
      </items>
    </pivotField>
    <pivotField showAll="0">
      <items count="15">
        <item x="0"/>
        <item x="1"/>
        <item x="4"/>
        <item x="5"/>
        <item x="2"/>
        <item x="7"/>
        <item x="9"/>
        <item x="11"/>
        <item x="10"/>
        <item x="8"/>
        <item x="3"/>
        <item x="6"/>
        <item x="12"/>
        <item x="13"/>
        <item t="default"/>
      </items>
    </pivotField>
    <pivotField showAll="0" defaultSubtotal="0"/>
    <pivotField showAll="0" defaultSubtotal="0"/>
  </pivotFields>
  <rowItems count="1">
    <i/>
  </rowItems>
  <colItems count="1">
    <i/>
  </colItems>
  <dataFields count="1">
    <dataField name="No of Trasncations"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2FB1B-B963-4C9E-879D-4B566A901456}"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1">
  <location ref="G9:I12" firstHeaderRow="0" firstDataRow="1" firstDataCol="1"/>
  <pivotFields count="15">
    <pivotField showAll="0"/>
    <pivotField showAll="0"/>
    <pivotField showAll="0">
      <items count="4">
        <item x="0"/>
        <item x="1"/>
        <item x="2"/>
        <item t="default"/>
      </items>
    </pivotField>
    <pivotField showAll="0"/>
    <pivotField numFmtId="14" showAll="0">
      <items count="15">
        <item x="0"/>
        <item x="1"/>
        <item x="2"/>
        <item x="3"/>
        <item x="4"/>
        <item x="5"/>
        <item x="6"/>
        <item x="7"/>
        <item x="8"/>
        <item x="9"/>
        <item x="10"/>
        <item x="11"/>
        <item x="12"/>
        <item x="13"/>
        <item t="default"/>
      </items>
    </pivotField>
    <pivotField showAll="0">
      <items count="10">
        <item x="6"/>
        <item x="5"/>
        <item x="1"/>
        <item x="0"/>
        <item x="4"/>
        <item x="7"/>
        <item x="3"/>
        <item x="2"/>
        <item x="8"/>
        <item t="default"/>
      </items>
    </pivotField>
    <pivotField axis="axisRow" showAll="0" sortType="descending">
      <items count="3">
        <item x="0"/>
        <item x="1"/>
        <item t="default"/>
      </items>
    </pivotField>
    <pivotField showAll="0"/>
    <pivotField dataField="1" showAll="0"/>
    <pivotField showAll="0"/>
    <pivotField dataField="1" showAll="0"/>
    <pivotField showAll="0">
      <items count="9">
        <item x="5"/>
        <item x="0"/>
        <item x="1"/>
        <item x="3"/>
        <item x="7"/>
        <item x="4"/>
        <item x="6"/>
        <item x="2"/>
        <item t="default"/>
      </items>
    </pivotField>
    <pivotField showAll="0">
      <items count="15">
        <item x="0"/>
        <item x="1"/>
        <item x="4"/>
        <item x="5"/>
        <item x="2"/>
        <item x="7"/>
        <item x="9"/>
        <item x="11"/>
        <item x="10"/>
        <item x="8"/>
        <item x="3"/>
        <item x="6"/>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3">
    <i>
      <x/>
    </i>
    <i>
      <x v="1"/>
    </i>
    <i t="grand">
      <x/>
    </i>
  </rowItems>
  <colFields count="1">
    <field x="-2"/>
  </colFields>
  <colItems count="2">
    <i>
      <x/>
    </i>
    <i i="1">
      <x v="1"/>
    </i>
  </colItems>
  <dataFields count="2">
    <dataField name="Sum of Net Amount" fld="10" baseField="0" baseItem="0"/>
    <dataField name="Sum of Discount Amount (INR)"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B46F17-6499-4175-B5F2-6FE880F62A35}"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0">
  <location ref="A3:B13" firstHeaderRow="1" firstDataRow="1" firstDataCol="1"/>
  <pivotFields count="15">
    <pivotField showAll="0"/>
    <pivotField showAll="0"/>
    <pivotField showAll="0">
      <items count="4">
        <item x="0"/>
        <item x="1"/>
        <item x="2"/>
        <item t="default"/>
      </items>
    </pivotField>
    <pivotField showAll="0"/>
    <pivotField numFmtId="14" showAll="0">
      <items count="15">
        <item x="0"/>
        <item x="1"/>
        <item x="2"/>
        <item x="3"/>
        <item x="4"/>
        <item x="5"/>
        <item x="6"/>
        <item x="7"/>
        <item x="8"/>
        <item x="9"/>
        <item x="10"/>
        <item x="11"/>
        <item x="12"/>
        <item x="13"/>
        <item t="default"/>
      </items>
    </pivotField>
    <pivotField axis="axisRow" showAll="0" sortType="descending">
      <items count="10">
        <item x="8"/>
        <item x="2"/>
        <item x="3"/>
        <item x="7"/>
        <item x="4"/>
        <item x="0"/>
        <item x="1"/>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9">
        <item x="5"/>
        <item x="0"/>
        <item x="1"/>
        <item x="3"/>
        <item x="7"/>
        <item x="4"/>
        <item x="6"/>
        <item x="2"/>
        <item t="default"/>
      </items>
    </pivotField>
    <pivotField showAll="0">
      <items count="15">
        <item x="0"/>
        <item x="1"/>
        <item x="4"/>
        <item x="5"/>
        <item x="2"/>
        <item x="7"/>
        <item x="9"/>
        <item x="11"/>
        <item x="10"/>
        <item x="8"/>
        <item x="3"/>
        <item x="6"/>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10">
    <i>
      <x v="5"/>
    </i>
    <i>
      <x v="6"/>
    </i>
    <i>
      <x v="8"/>
    </i>
    <i>
      <x v="4"/>
    </i>
    <i>
      <x v="1"/>
    </i>
    <i>
      <x/>
    </i>
    <i>
      <x v="7"/>
    </i>
    <i>
      <x v="3"/>
    </i>
    <i>
      <x v="2"/>
    </i>
    <i t="grand">
      <x/>
    </i>
  </rowItems>
  <colItems count="1">
    <i/>
  </colItems>
  <dataFields count="1">
    <dataField name="Sum of Net Amount" fld="10"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358869-2C33-4B94-AA3F-02B591C018AB}" name="PivotTable14"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K6:K7" firstHeaderRow="1" firstDataRow="1" firstDataCol="0"/>
  <pivotFields count="15">
    <pivotField showAll="0"/>
    <pivotField showAll="0"/>
    <pivotField showAll="0">
      <items count="4">
        <item x="0"/>
        <item x="1"/>
        <item x="2"/>
        <item t="default"/>
      </items>
    </pivotField>
    <pivotField showAll="0"/>
    <pivotField numFmtId="14" showAll="0">
      <items count="15">
        <item x="0"/>
        <item x="1"/>
        <item x="2"/>
        <item x="3"/>
        <item x="4"/>
        <item x="5"/>
        <item x="6"/>
        <item x="7"/>
        <item x="8"/>
        <item x="9"/>
        <item x="10"/>
        <item x="11"/>
        <item x="12"/>
        <item x="13"/>
        <item t="default"/>
      </items>
    </pivotField>
    <pivotField showAll="0">
      <items count="10">
        <item x="6"/>
        <item x="5"/>
        <item x="1"/>
        <item x="0"/>
        <item x="4"/>
        <item x="7"/>
        <item x="3"/>
        <item x="2"/>
        <item x="8"/>
        <item t="default"/>
      </items>
    </pivotField>
    <pivotField showAll="0"/>
    <pivotField showAll="0"/>
    <pivotField showAll="0"/>
    <pivotField showAll="0"/>
    <pivotField dataField="1" showAll="0"/>
    <pivotField showAll="0">
      <items count="9">
        <item x="5"/>
        <item x="0"/>
        <item x="1"/>
        <item x="3"/>
        <item x="7"/>
        <item x="4"/>
        <item x="6"/>
        <item x="2"/>
        <item t="default"/>
      </items>
    </pivotField>
    <pivotField showAll="0">
      <items count="15">
        <item x="0"/>
        <item x="1"/>
        <item x="4"/>
        <item x="5"/>
        <item x="2"/>
        <item x="7"/>
        <item x="9"/>
        <item x="11"/>
        <item x="10"/>
        <item x="8"/>
        <item x="3"/>
        <item x="6"/>
        <item x="12"/>
        <item x="13"/>
        <item t="default"/>
      </items>
    </pivotField>
    <pivotField showAll="0" defaultSubtotal="0"/>
    <pivotField showAll="0" defaultSubtotal="0"/>
  </pivotFields>
  <rowItems count="1">
    <i/>
  </rowItems>
  <colItems count="1">
    <i/>
  </colItems>
  <dataFields count="1">
    <dataField name="Total Average" fld="10"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FA94F4-F1B9-461A-981B-0E99ACBC5279}" name="PivotTable4"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1">
  <location ref="G3:H7" firstHeaderRow="1" firstDataRow="1" firstDataCol="1"/>
  <pivotFields count="15">
    <pivotField showAll="0"/>
    <pivotField showAll="0"/>
    <pivotField axis="axisRow" showAll="0" sortType="ascending">
      <items count="4">
        <item x="0"/>
        <item x="1"/>
        <item x="2"/>
        <item t="default"/>
      </items>
    </pivotField>
    <pivotField showAll="0"/>
    <pivotField numFmtId="14" showAll="0">
      <items count="15">
        <item x="0"/>
        <item x="1"/>
        <item x="2"/>
        <item x="3"/>
        <item x="4"/>
        <item x="5"/>
        <item x="6"/>
        <item x="7"/>
        <item x="8"/>
        <item x="9"/>
        <item x="10"/>
        <item x="11"/>
        <item x="12"/>
        <item x="13"/>
        <item t="default"/>
      </items>
    </pivotField>
    <pivotField showAll="0">
      <items count="10">
        <item x="6"/>
        <item x="5"/>
        <item x="1"/>
        <item x="0"/>
        <item x="4"/>
        <item x="7"/>
        <item x="3"/>
        <item x="2"/>
        <item x="8"/>
        <item t="default"/>
      </items>
    </pivotField>
    <pivotField showAll="0"/>
    <pivotField showAll="0"/>
    <pivotField showAll="0"/>
    <pivotField showAll="0"/>
    <pivotField dataField="1" showAll="0"/>
    <pivotField showAll="0">
      <items count="9">
        <item x="5"/>
        <item x="0"/>
        <item x="1"/>
        <item x="3"/>
        <item x="7"/>
        <item x="4"/>
        <item x="6"/>
        <item x="2"/>
        <item t="default"/>
      </items>
    </pivotField>
    <pivotField showAll="0">
      <items count="15">
        <item x="0"/>
        <item x="1"/>
        <item x="4"/>
        <item x="5"/>
        <item x="2"/>
        <item x="7"/>
        <item x="9"/>
        <item x="11"/>
        <item x="10"/>
        <item x="8"/>
        <item x="3"/>
        <item x="6"/>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4">
    <i>
      <x/>
    </i>
    <i>
      <x v="1"/>
    </i>
    <i>
      <x v="2"/>
    </i>
    <i t="grand">
      <x/>
    </i>
  </rowItems>
  <colItems count="1">
    <i/>
  </colItems>
  <dataFields count="1">
    <dataField name="Sum of Net Amount" fld="1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2" count="1" selected="0">
            <x v="0"/>
          </reference>
        </references>
      </pivotArea>
    </chartFormat>
    <chartFormat chart="10" format="15">
      <pivotArea type="data" outline="0" fieldPosition="0">
        <references count="2">
          <reference field="4294967294" count="1" selected="0">
            <x v="0"/>
          </reference>
          <reference field="2" count="1" selected="0">
            <x v="1"/>
          </reference>
        </references>
      </pivotArea>
    </chartFormat>
    <chartFormat chart="10"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3F1153-9B7A-43BE-A38F-6457677F9090}" sourceName="Gender">
  <pivotTables>
    <pivotTable tabId="3" name="PivotTable2"/>
    <pivotTable tabId="3" name="PivotTable13"/>
    <pivotTable tabId="3" name="PivotTable14"/>
    <pivotTable tabId="3" name="PivotTable15"/>
    <pivotTable tabId="3" name="PivotTable3"/>
    <pivotTable tabId="3" name="PivotTable4"/>
    <pivotTable tabId="3" name="PivotTable5"/>
    <pivotTable tabId="3" name="PivotTable6"/>
  </pivotTables>
  <data>
    <tabular pivotCacheId="39764938">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74D65D6-6B66-43E8-92AE-3392F63122AA}" sourceName="Product Category">
  <pivotTables>
    <pivotTable tabId="3" name="PivotTable2"/>
    <pivotTable tabId="3" name="PivotTable13"/>
    <pivotTable tabId="3" name="PivotTable14"/>
    <pivotTable tabId="3" name="PivotTable15"/>
    <pivotTable tabId="3" name="PivotTable3"/>
    <pivotTable tabId="3" name="PivotTable4"/>
    <pivotTable tabId="3" name="PivotTable5"/>
    <pivotTable tabId="3" name="PivotTable6"/>
  </pivotTables>
  <data>
    <tabular pivotCacheId="39764938">
      <items count="9">
        <i x="6" s="1"/>
        <i x="5" s="1"/>
        <i x="1" s="1"/>
        <i x="0" s="1"/>
        <i x="4" s="1"/>
        <i x="7" s="1"/>
        <i x="3" s="1"/>
        <i x="2" s="1"/>
        <i x="8"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ethod" xr10:uid="{9BA5A2DE-E183-4BBE-A028-65251E018A7B}" sourceName="Purchase Method">
  <pivotTables>
    <pivotTable tabId="3" name="PivotTable2"/>
    <pivotTable tabId="3" name="PivotTable3"/>
    <pivotTable tabId="3" name="PivotTable4"/>
    <pivotTable tabId="3" name="PivotTable5"/>
    <pivotTable tabId="3" name="PivotTable6"/>
    <pivotTable tabId="3" name="PivotTable13"/>
    <pivotTable tabId="3" name="PivotTable14"/>
    <pivotTable tabId="3" name="PivotTable15"/>
  </pivotTables>
  <data>
    <tabular pivotCacheId="39764938">
      <items count="8">
        <i x="5" s="1"/>
        <i x="0" s="1"/>
        <i x="1" s="1"/>
        <i x="3" s="1"/>
        <i x="7" s="1"/>
        <i x="4" s="1"/>
        <i x="6"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EF1A8E2-5EDF-40A6-8F3C-B18B8140E025}" sourceName="Location">
  <pivotTables>
    <pivotTable tabId="3" name="PivotTable2"/>
    <pivotTable tabId="3" name="PivotTable3"/>
    <pivotTable tabId="3" name="PivotTable4"/>
    <pivotTable tabId="3" name="PivotTable5"/>
    <pivotTable tabId="3" name="PivotTable6"/>
    <pivotTable tabId="3" name="PivotTable13"/>
    <pivotTable tabId="3" name="PivotTable14"/>
    <pivotTable tabId="3" name="PivotTable15"/>
  </pivotTables>
  <data>
    <tabular pivotCacheId="39764938">
      <items count="14">
        <i x="0" s="1"/>
        <i x="1" s="1"/>
        <i x="4" s="1"/>
        <i x="5" s="1"/>
        <i x="2" s="1"/>
        <i x="7" s="1"/>
        <i x="9" s="1"/>
        <i x="11" s="1"/>
        <i x="10" s="1"/>
        <i x="8" s="1"/>
        <i x="3" s="1"/>
        <i x="6" s="1"/>
        <i x="12"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DD642FD-840F-4E95-B04C-2A718CBF6947}" cache="Slicer_Gender" caption="Gender" columnCount="3" showCaption="0" rowHeight="241300"/>
  <slicer name="Product Category" xr10:uid="{FA7404B1-3334-4367-BAFF-F861D8B21BA8}" cache="Slicer_Product_Category" caption="Product Category" rowHeight="241300"/>
  <slicer name="Purchase Method" xr10:uid="{99B2D732-ED73-46E8-BD00-F38286E83FC1}" cache="Slicer_Purchase_Method" caption="Purchase Method" rowHeight="241300"/>
  <slicer name="Location" xr10:uid="{BE8F95FC-9349-4BC1-B074-5BAA5CAF518B}" cache="Slicer_Location" caption="Location" startItem="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A985EFB-0152-446F-8758-0E8D8ED290F9}" cache="Slicer_Gender" caption="Gender" columnCount="3" rowHeight="241300"/>
  <slicer name="Product Category 2" xr10:uid="{B78B2CAF-7AD6-4D0B-B354-17F3B33ADA8A}" cache="Slicer_Product_Category" caption="Product Category" rowHeight="241300"/>
  <slicer name="Purchase Method 2" xr10:uid="{067D88CA-CC4E-4657-8482-EF6A27BFBD6C}" cache="Slicer_Purchase_Method" caption="Purchase Method" rowHeight="241300"/>
  <slicer name="Location 2" xr10:uid="{7B6A1968-D1FB-4459-B3EF-1C352BDDAD31}" cache="Slicer_Location" caption="Lo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8A3ABA-63C7-4719-8584-608F3881606F}" name="Table1" displayName="Table1" ref="A1:M501" totalsRowShown="0" headerRowDxfId="16" headerRowBorderDxfId="15" tableBorderDxfId="14" totalsRowBorderDxfId="13">
  <autoFilter ref="A1:M501" xr:uid="{C18A3ABA-63C7-4719-8584-608F3881606F}"/>
  <tableColumns count="13">
    <tableColumn id="1" xr3:uid="{AD66993A-3BFF-4914-8ABC-C288D4BA6D8E}" name="CID" dataDxfId="12"/>
    <tableColumn id="2" xr3:uid="{E9FBECB5-A45E-4F8D-9DCD-C51DDD201F89}" name="TID" dataDxfId="11"/>
    <tableColumn id="3" xr3:uid="{E904B55E-F240-433A-8850-EC829EEBE5A1}" name="Gender" dataDxfId="10"/>
    <tableColumn id="4" xr3:uid="{0CFD8ED9-DF83-477D-8AF9-C2E7397BB930}" name="Age Group" dataDxfId="9"/>
    <tableColumn id="5" xr3:uid="{96A4C427-DC48-4890-9199-89256F302483}" name="Purchase Date" dataDxfId="8"/>
    <tableColumn id="6" xr3:uid="{62B9CAA4-1CBA-4F9F-8B97-E599148C6A00}" name="Product Category" dataDxfId="7"/>
    <tableColumn id="7" xr3:uid="{A666ECEB-48ED-4744-B084-61A924517919}" name="Discount Availed" dataDxfId="6"/>
    <tableColumn id="8" xr3:uid="{78F1E191-A756-40FA-A697-54E02722B965}" name="Discount Name" dataDxfId="5"/>
    <tableColumn id="9" xr3:uid="{B8F1BC2C-2EC0-4D2F-97EC-72E5ACE93287}" name="Discount Amount (INR)" dataDxfId="4"/>
    <tableColumn id="10" xr3:uid="{842D8EA8-DE9B-4D2C-8969-6B950973B9EE}" name="Gross Amount" dataDxfId="3"/>
    <tableColumn id="11" xr3:uid="{2E8C4019-1E86-4A6B-962E-D6C7EFA89BF0}" name="Net Amount" dataDxfId="2"/>
    <tableColumn id="12" xr3:uid="{824E2C69-A962-43E3-86F6-033EF83B59CD}" name="Purchase Method" dataDxfId="1"/>
    <tableColumn id="13" xr3:uid="{5EFCD3AA-BEC9-4D1F-9FBB-BFD96384F655}" name="Location" dataDxfId="0"/>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urchase_Date" xr10:uid="{AD87AAF0-3E0B-4E6D-94C2-80C09D58782F}" sourceName="Purchase Date">
  <pivotTables>
    <pivotTable tabId="3" name="PivotTable2"/>
    <pivotTable tabId="3" name="PivotTable3"/>
    <pivotTable tabId="3" name="PivotTable4"/>
    <pivotTable tabId="3" name="PivotTable5"/>
    <pivotTable tabId="3" name="PivotTable6"/>
    <pivotTable tabId="3" name="PivotTable13"/>
    <pivotTable tabId="3" name="PivotTable14"/>
    <pivotTable tabId="3" name="PivotTable15"/>
  </pivotTables>
  <state minimalRefreshVersion="6" lastRefreshVersion="6" pivotCacheId="39764938" filterType="unknown">
    <bounds startDate="2019-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 Date" xr10:uid="{65E7E1C9-2E25-431A-A43C-B9898FCF8AFE}" cache="NativeTimeline_Purchase_Date" caption="Purchase Date" level="2" selectionLevel="2" scrollPosition="2024-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 Date 2" xr10:uid="{4E607412-776D-40D9-9E83-F2F6DBE8594C}" cache="NativeTimeline_Purchase_Date" caption="Purchase Date" level="2" selectionLevel="2" scrollPosition="2019-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4F6C1-C08F-47A4-B903-E16E3092CA58}">
  <sheetPr>
    <tabColor rgb="FF92D050"/>
  </sheetPr>
  <dimension ref="A1:O501"/>
  <sheetViews>
    <sheetView zoomScaleNormal="100" workbookViewId="0">
      <selection activeCell="I16" sqref="I16"/>
    </sheetView>
  </sheetViews>
  <sheetFormatPr defaultRowHeight="14.5" x14ac:dyDescent="0.35"/>
  <cols>
    <col min="1" max="1" width="6.81640625" bestFit="1" customWidth="1"/>
    <col min="2" max="2" width="10.81640625" bestFit="1" customWidth="1"/>
    <col min="3" max="3" width="9" customWidth="1"/>
    <col min="4" max="4" width="12" bestFit="1" customWidth="1"/>
    <col min="5" max="5" width="14.90625" customWidth="1"/>
    <col min="6" max="6" width="17.36328125" customWidth="1"/>
    <col min="7" max="7" width="16.7265625" customWidth="1"/>
    <col min="8" max="8" width="16.81640625" bestFit="1" customWidth="1"/>
    <col min="9" max="9" width="22.08984375" customWidth="1"/>
    <col min="10" max="10" width="14.81640625" customWidth="1"/>
    <col min="11" max="11" width="13.08984375" customWidth="1"/>
    <col min="12" max="12" width="17.6328125" customWidth="1"/>
    <col min="13" max="13" width="11" bestFit="1" customWidth="1"/>
    <col min="15" max="15" width="13.6328125" bestFit="1" customWidth="1"/>
  </cols>
  <sheetData>
    <row r="1" spans="1:15" x14ac:dyDescent="0.35">
      <c r="A1" s="10" t="s">
        <v>0</v>
      </c>
      <c r="B1" s="11" t="s">
        <v>1</v>
      </c>
      <c r="C1" s="11" t="s">
        <v>2</v>
      </c>
      <c r="D1" s="11" t="s">
        <v>6</v>
      </c>
      <c r="E1" s="12" t="s">
        <v>7</v>
      </c>
      <c r="F1" s="11" t="s">
        <v>8</v>
      </c>
      <c r="G1" s="11" t="s">
        <v>9</v>
      </c>
      <c r="H1" s="11" t="s">
        <v>10</v>
      </c>
      <c r="I1" s="11" t="s">
        <v>11</v>
      </c>
      <c r="J1" s="11" t="s">
        <v>12</v>
      </c>
      <c r="K1" s="11" t="s">
        <v>13</v>
      </c>
      <c r="L1" s="11" t="s">
        <v>14</v>
      </c>
      <c r="M1" s="13" t="s">
        <v>15</v>
      </c>
    </row>
    <row r="2" spans="1:15" x14ac:dyDescent="0.35">
      <c r="A2" s="4">
        <v>943146</v>
      </c>
      <c r="B2" s="2">
        <v>5876328741</v>
      </c>
      <c r="C2" s="2" t="s">
        <v>3</v>
      </c>
      <c r="D2" s="2" t="s">
        <v>16</v>
      </c>
      <c r="E2" s="3">
        <v>45168</v>
      </c>
      <c r="F2" s="2" t="s">
        <v>21</v>
      </c>
      <c r="G2" s="2" t="s">
        <v>22</v>
      </c>
      <c r="H2" s="2" t="s">
        <v>23</v>
      </c>
      <c r="I2" s="2">
        <v>64.3</v>
      </c>
      <c r="J2" s="2">
        <v>725.3</v>
      </c>
      <c r="K2" s="2">
        <v>661</v>
      </c>
      <c r="L2" s="2" t="s">
        <v>37</v>
      </c>
      <c r="M2" s="5" t="s">
        <v>38</v>
      </c>
    </row>
    <row r="3" spans="1:15" x14ac:dyDescent="0.35">
      <c r="A3" s="4">
        <v>180079</v>
      </c>
      <c r="B3" s="2">
        <v>1018503182</v>
      </c>
      <c r="C3" s="2" t="s">
        <v>4</v>
      </c>
      <c r="D3" s="2" t="s">
        <v>16</v>
      </c>
      <c r="E3" s="3">
        <v>45345</v>
      </c>
      <c r="F3" s="2" t="s">
        <v>21</v>
      </c>
      <c r="G3" s="2" t="s">
        <v>22</v>
      </c>
      <c r="H3" s="2" t="s">
        <v>24</v>
      </c>
      <c r="I3" s="2">
        <v>175.19</v>
      </c>
      <c r="J3" s="2">
        <v>4638.99</v>
      </c>
      <c r="K3" s="2">
        <v>4463.8</v>
      </c>
      <c r="L3" s="2" t="s">
        <v>37</v>
      </c>
      <c r="M3" s="5" t="s">
        <v>39</v>
      </c>
    </row>
    <row r="4" spans="1:15" x14ac:dyDescent="0.35">
      <c r="A4" s="4">
        <v>337580</v>
      </c>
      <c r="B4" s="2">
        <v>3814082218</v>
      </c>
      <c r="C4" s="2" t="s">
        <v>5</v>
      </c>
      <c r="D4" s="2" t="s">
        <v>17</v>
      </c>
      <c r="E4" s="3">
        <v>44715</v>
      </c>
      <c r="F4" s="2" t="s">
        <v>25</v>
      </c>
      <c r="G4" s="2" t="s">
        <v>22</v>
      </c>
      <c r="H4" s="2" t="s">
        <v>24</v>
      </c>
      <c r="I4" s="2">
        <v>211.54</v>
      </c>
      <c r="J4" s="2">
        <v>1986.37</v>
      </c>
      <c r="K4" s="2">
        <v>1774.83</v>
      </c>
      <c r="L4" s="2" t="s">
        <v>37</v>
      </c>
      <c r="M4" s="5" t="s">
        <v>40</v>
      </c>
      <c r="O4" s="1"/>
    </row>
    <row r="5" spans="1:15" x14ac:dyDescent="0.35">
      <c r="A5" s="4">
        <v>180333</v>
      </c>
      <c r="B5" s="2">
        <v>1395204173</v>
      </c>
      <c r="C5" s="2" t="s">
        <v>5</v>
      </c>
      <c r="D5" s="2" t="s">
        <v>17</v>
      </c>
      <c r="E5" s="3">
        <v>43932</v>
      </c>
      <c r="F5" s="2" t="s">
        <v>26</v>
      </c>
      <c r="G5" s="2" t="s">
        <v>27</v>
      </c>
      <c r="H5" s="2" t="s">
        <v>28</v>
      </c>
      <c r="I5" s="2">
        <v>0</v>
      </c>
      <c r="J5" s="2">
        <v>5695.61</v>
      </c>
      <c r="K5" s="2">
        <v>5695.61</v>
      </c>
      <c r="L5" s="2" t="s">
        <v>41</v>
      </c>
      <c r="M5" s="5" t="s">
        <v>40</v>
      </c>
      <c r="O5" s="16"/>
    </row>
    <row r="6" spans="1:15" x14ac:dyDescent="0.35">
      <c r="A6" s="4">
        <v>447553</v>
      </c>
      <c r="B6" s="2">
        <v>8009390577</v>
      </c>
      <c r="C6" s="2" t="s">
        <v>4</v>
      </c>
      <c r="D6" s="2" t="s">
        <v>18</v>
      </c>
      <c r="E6" s="3">
        <v>44712</v>
      </c>
      <c r="F6" s="2" t="s">
        <v>26</v>
      </c>
      <c r="G6" s="2" t="s">
        <v>22</v>
      </c>
      <c r="H6" s="2" t="s">
        <v>29</v>
      </c>
      <c r="I6" s="2">
        <v>439.92</v>
      </c>
      <c r="J6" s="2">
        <v>2292.65</v>
      </c>
      <c r="K6" s="2">
        <v>1852.73</v>
      </c>
      <c r="L6" s="2" t="s">
        <v>37</v>
      </c>
      <c r="M6" s="5" t="s">
        <v>40</v>
      </c>
      <c r="O6" s="1"/>
    </row>
    <row r="7" spans="1:15" x14ac:dyDescent="0.35">
      <c r="A7" s="4">
        <v>200614</v>
      </c>
      <c r="B7" s="2">
        <v>3994452858</v>
      </c>
      <c r="C7" s="2" t="s">
        <v>4</v>
      </c>
      <c r="D7" s="2" t="s">
        <v>18</v>
      </c>
      <c r="E7" s="3">
        <v>44537</v>
      </c>
      <c r="F7" s="2" t="s">
        <v>25</v>
      </c>
      <c r="G7" s="2" t="s">
        <v>22</v>
      </c>
      <c r="H7" s="2" t="s">
        <v>23</v>
      </c>
      <c r="I7" s="2">
        <v>127.01</v>
      </c>
      <c r="J7" s="2">
        <v>3649.4</v>
      </c>
      <c r="K7" s="2">
        <v>3522.39</v>
      </c>
      <c r="L7" s="2" t="s">
        <v>37</v>
      </c>
      <c r="M7" s="5" t="s">
        <v>40</v>
      </c>
      <c r="O7" s="16"/>
    </row>
    <row r="8" spans="1:15" x14ac:dyDescent="0.35">
      <c r="A8" s="4">
        <v>668787</v>
      </c>
      <c r="B8" s="2">
        <v>9460023916</v>
      </c>
      <c r="C8" s="2" t="s">
        <v>4</v>
      </c>
      <c r="D8" s="2" t="s">
        <v>16</v>
      </c>
      <c r="E8" s="3">
        <v>45148</v>
      </c>
      <c r="F8" s="2" t="s">
        <v>21</v>
      </c>
      <c r="G8" s="2" t="s">
        <v>27</v>
      </c>
      <c r="H8" s="2" t="s">
        <v>28</v>
      </c>
      <c r="I8" s="2">
        <v>0</v>
      </c>
      <c r="J8" s="2">
        <v>5593.94</v>
      </c>
      <c r="K8" s="2">
        <v>5593.94</v>
      </c>
      <c r="L8" s="2" t="s">
        <v>42</v>
      </c>
      <c r="M8" s="5" t="s">
        <v>40</v>
      </c>
      <c r="O8" s="1"/>
    </row>
    <row r="9" spans="1:15" x14ac:dyDescent="0.35">
      <c r="A9" s="4">
        <v>933551</v>
      </c>
      <c r="B9" s="2">
        <v>6877673032</v>
      </c>
      <c r="C9" s="2" t="s">
        <v>3</v>
      </c>
      <c r="D9" s="2" t="s">
        <v>18</v>
      </c>
      <c r="E9" s="3">
        <v>44909</v>
      </c>
      <c r="F9" s="2" t="s">
        <v>21</v>
      </c>
      <c r="G9" s="2" t="s">
        <v>27</v>
      </c>
      <c r="H9" s="2" t="s">
        <v>28</v>
      </c>
      <c r="I9" s="2">
        <v>0</v>
      </c>
      <c r="J9" s="2">
        <v>1901.8</v>
      </c>
      <c r="K9" s="2">
        <v>1901.8</v>
      </c>
      <c r="L9" s="2" t="s">
        <v>37</v>
      </c>
      <c r="M9" s="5" t="s">
        <v>40</v>
      </c>
    </row>
    <row r="10" spans="1:15" x14ac:dyDescent="0.35">
      <c r="A10" s="4">
        <v>414167</v>
      </c>
      <c r="B10" s="2">
        <v>2841266620</v>
      </c>
      <c r="C10" s="2" t="s">
        <v>4</v>
      </c>
      <c r="D10" s="2" t="s">
        <v>18</v>
      </c>
      <c r="E10" s="3">
        <v>43950</v>
      </c>
      <c r="F10" s="2" t="s">
        <v>30</v>
      </c>
      <c r="G10" s="2" t="s">
        <v>27</v>
      </c>
      <c r="H10" s="2" t="s">
        <v>28</v>
      </c>
      <c r="I10" s="2">
        <v>0</v>
      </c>
      <c r="J10" s="2">
        <v>3961.67</v>
      </c>
      <c r="K10" s="2">
        <v>3961.67</v>
      </c>
      <c r="L10" s="2" t="s">
        <v>41</v>
      </c>
      <c r="M10" s="5" t="s">
        <v>40</v>
      </c>
    </row>
    <row r="11" spans="1:15" x14ac:dyDescent="0.35">
      <c r="A11" s="4">
        <v>889269</v>
      </c>
      <c r="B11" s="2">
        <v>1342270638</v>
      </c>
      <c r="C11" s="2" t="s">
        <v>5</v>
      </c>
      <c r="D11" s="2" t="s">
        <v>17</v>
      </c>
      <c r="E11" s="3">
        <v>45278</v>
      </c>
      <c r="F11" s="2" t="s">
        <v>25</v>
      </c>
      <c r="G11" s="2" t="s">
        <v>22</v>
      </c>
      <c r="H11" s="2" t="s">
        <v>31</v>
      </c>
      <c r="I11" s="2">
        <v>437.5</v>
      </c>
      <c r="J11" s="2">
        <v>1497.35</v>
      </c>
      <c r="K11" s="2">
        <v>1059.8499999999999</v>
      </c>
      <c r="L11" s="2" t="s">
        <v>37</v>
      </c>
      <c r="M11" s="5" t="s">
        <v>39</v>
      </c>
    </row>
    <row r="12" spans="1:15" x14ac:dyDescent="0.35">
      <c r="A12" s="4">
        <v>931578</v>
      </c>
      <c r="B12" s="2">
        <v>5168806107</v>
      </c>
      <c r="C12" s="2" t="s">
        <v>5</v>
      </c>
      <c r="D12" s="2" t="s">
        <v>16</v>
      </c>
      <c r="E12" s="3">
        <v>44816</v>
      </c>
      <c r="F12" s="2" t="s">
        <v>25</v>
      </c>
      <c r="G12" s="2" t="s">
        <v>27</v>
      </c>
      <c r="H12" s="2" t="s">
        <v>28</v>
      </c>
      <c r="I12" s="2">
        <v>0</v>
      </c>
      <c r="J12" s="2">
        <v>7824.17</v>
      </c>
      <c r="K12" s="2">
        <v>7824.17</v>
      </c>
      <c r="L12" s="2" t="s">
        <v>37</v>
      </c>
      <c r="M12" s="5" t="s">
        <v>5</v>
      </c>
    </row>
    <row r="13" spans="1:15" x14ac:dyDescent="0.35">
      <c r="A13" s="4">
        <v>629298</v>
      </c>
      <c r="B13" s="2">
        <v>2229511931</v>
      </c>
      <c r="C13" s="2" t="s">
        <v>5</v>
      </c>
      <c r="D13" s="2" t="s">
        <v>19</v>
      </c>
      <c r="E13" s="3">
        <v>44238</v>
      </c>
      <c r="F13" s="2" t="s">
        <v>21</v>
      </c>
      <c r="G13" s="2" t="s">
        <v>27</v>
      </c>
      <c r="H13" s="2" t="s">
        <v>28</v>
      </c>
      <c r="I13" s="2">
        <v>0</v>
      </c>
      <c r="J13" s="2">
        <v>988.17</v>
      </c>
      <c r="K13" s="2">
        <v>988.17</v>
      </c>
      <c r="L13" s="2" t="s">
        <v>43</v>
      </c>
      <c r="M13" s="5" t="s">
        <v>44</v>
      </c>
    </row>
    <row r="14" spans="1:15" x14ac:dyDescent="0.35">
      <c r="A14" s="4">
        <v>665042</v>
      </c>
      <c r="B14" s="2">
        <v>3754858574</v>
      </c>
      <c r="C14" s="2" t="s">
        <v>3</v>
      </c>
      <c r="D14" s="2" t="s">
        <v>16</v>
      </c>
      <c r="E14" s="3">
        <v>44097</v>
      </c>
      <c r="F14" s="2" t="s">
        <v>21</v>
      </c>
      <c r="G14" s="2" t="s">
        <v>22</v>
      </c>
      <c r="H14" s="2" t="s">
        <v>24</v>
      </c>
      <c r="I14" s="2">
        <v>97.88</v>
      </c>
      <c r="J14" s="2">
        <v>3508.94</v>
      </c>
      <c r="K14" s="2">
        <v>3411.06</v>
      </c>
      <c r="L14" s="2" t="s">
        <v>45</v>
      </c>
      <c r="M14" s="5" t="s">
        <v>46</v>
      </c>
    </row>
    <row r="15" spans="1:15" x14ac:dyDescent="0.35">
      <c r="A15" s="4">
        <v>570860</v>
      </c>
      <c r="B15" s="2">
        <v>6791123870</v>
      </c>
      <c r="C15" s="2" t="s">
        <v>4</v>
      </c>
      <c r="D15" s="2" t="s">
        <v>16</v>
      </c>
      <c r="E15" s="3">
        <v>43876</v>
      </c>
      <c r="F15" s="2" t="s">
        <v>21</v>
      </c>
      <c r="G15" s="2" t="s">
        <v>22</v>
      </c>
      <c r="H15" s="2" t="s">
        <v>23</v>
      </c>
      <c r="I15" s="2">
        <v>269.87</v>
      </c>
      <c r="J15" s="2">
        <v>618.11</v>
      </c>
      <c r="K15" s="2">
        <v>348.24</v>
      </c>
      <c r="L15" s="2" t="s">
        <v>47</v>
      </c>
      <c r="M15" s="5" t="s">
        <v>44</v>
      </c>
    </row>
    <row r="16" spans="1:15" x14ac:dyDescent="0.35">
      <c r="A16" s="4">
        <v>367541</v>
      </c>
      <c r="B16" s="2">
        <v>9916932604</v>
      </c>
      <c r="C16" s="2" t="s">
        <v>5</v>
      </c>
      <c r="D16" s="2" t="s">
        <v>18</v>
      </c>
      <c r="E16" s="3">
        <v>44465</v>
      </c>
      <c r="F16" s="2" t="s">
        <v>32</v>
      </c>
      <c r="G16" s="2" t="s">
        <v>22</v>
      </c>
      <c r="H16" s="2" t="s">
        <v>33</v>
      </c>
      <c r="I16" s="2">
        <v>268.7</v>
      </c>
      <c r="J16" s="2">
        <v>560.96</v>
      </c>
      <c r="K16" s="2">
        <v>292.26</v>
      </c>
      <c r="L16" s="2" t="s">
        <v>37</v>
      </c>
      <c r="M16" s="5" t="s">
        <v>48</v>
      </c>
    </row>
    <row r="17" spans="1:13" x14ac:dyDescent="0.35">
      <c r="A17" s="4">
        <v>143460</v>
      </c>
      <c r="B17" s="2">
        <v>2441027824</v>
      </c>
      <c r="C17" s="2" t="s">
        <v>5</v>
      </c>
      <c r="D17" s="2" t="s">
        <v>16</v>
      </c>
      <c r="E17" s="3">
        <v>44757</v>
      </c>
      <c r="F17" s="2" t="s">
        <v>21</v>
      </c>
      <c r="G17" s="2" t="s">
        <v>27</v>
      </c>
      <c r="H17" s="2" t="s">
        <v>28</v>
      </c>
      <c r="I17" s="2">
        <v>0</v>
      </c>
      <c r="J17" s="2">
        <v>4996.1099999999997</v>
      </c>
      <c r="K17" s="2">
        <v>4996.1099999999997</v>
      </c>
      <c r="L17" s="2" t="s">
        <v>41</v>
      </c>
      <c r="M17" s="5" t="s">
        <v>40</v>
      </c>
    </row>
    <row r="18" spans="1:13" x14ac:dyDescent="0.35">
      <c r="A18" s="4">
        <v>573298</v>
      </c>
      <c r="B18" s="2">
        <v>5515725036</v>
      </c>
      <c r="C18" s="2" t="s">
        <v>5</v>
      </c>
      <c r="D18" s="2" t="s">
        <v>16</v>
      </c>
      <c r="E18" s="3">
        <v>45073</v>
      </c>
      <c r="F18" s="2" t="s">
        <v>26</v>
      </c>
      <c r="G18" s="2" t="s">
        <v>27</v>
      </c>
      <c r="H18" s="2" t="s">
        <v>28</v>
      </c>
      <c r="I18" s="2">
        <v>0</v>
      </c>
      <c r="J18" s="2">
        <v>2729.75</v>
      </c>
      <c r="K18" s="2">
        <v>2729.75</v>
      </c>
      <c r="L18" s="2" t="s">
        <v>45</v>
      </c>
      <c r="M18" s="5" t="s">
        <v>38</v>
      </c>
    </row>
    <row r="19" spans="1:13" x14ac:dyDescent="0.35">
      <c r="A19" s="4">
        <v>454101</v>
      </c>
      <c r="B19" s="2">
        <v>6091881739</v>
      </c>
      <c r="C19" s="2" t="s">
        <v>4</v>
      </c>
      <c r="D19" s="2" t="s">
        <v>20</v>
      </c>
      <c r="E19" s="3">
        <v>44169</v>
      </c>
      <c r="F19" s="2" t="s">
        <v>21</v>
      </c>
      <c r="G19" s="2" t="s">
        <v>22</v>
      </c>
      <c r="H19" s="2" t="s">
        <v>33</v>
      </c>
      <c r="I19" s="2">
        <v>368.53</v>
      </c>
      <c r="J19" s="2">
        <v>457.32</v>
      </c>
      <c r="K19" s="2">
        <v>88.79</v>
      </c>
      <c r="L19" s="2" t="s">
        <v>37</v>
      </c>
      <c r="M19" s="5" t="s">
        <v>49</v>
      </c>
    </row>
    <row r="20" spans="1:13" x14ac:dyDescent="0.35">
      <c r="A20" s="4">
        <v>337178</v>
      </c>
      <c r="B20" s="2">
        <v>6774128207</v>
      </c>
      <c r="C20" s="2" t="s">
        <v>5</v>
      </c>
      <c r="D20" s="2" t="s">
        <v>18</v>
      </c>
      <c r="E20" s="3">
        <v>44247</v>
      </c>
      <c r="F20" s="2" t="s">
        <v>32</v>
      </c>
      <c r="G20" s="2" t="s">
        <v>22</v>
      </c>
      <c r="H20" s="2" t="s">
        <v>24</v>
      </c>
      <c r="I20" s="2">
        <v>375.51</v>
      </c>
      <c r="J20" s="2">
        <v>4141.6400000000003</v>
      </c>
      <c r="K20" s="2">
        <v>3766.13</v>
      </c>
      <c r="L20" s="2" t="s">
        <v>37</v>
      </c>
      <c r="M20" s="5" t="s">
        <v>38</v>
      </c>
    </row>
    <row r="21" spans="1:13" x14ac:dyDescent="0.35">
      <c r="A21" s="4">
        <v>787512</v>
      </c>
      <c r="B21" s="2">
        <v>9582806381</v>
      </c>
      <c r="C21" s="2" t="s">
        <v>4</v>
      </c>
      <c r="D21" s="2" t="s">
        <v>18</v>
      </c>
      <c r="E21" s="3">
        <v>44272</v>
      </c>
      <c r="F21" s="2" t="s">
        <v>34</v>
      </c>
      <c r="G21" s="2" t="s">
        <v>27</v>
      </c>
      <c r="H21" s="2" t="s">
        <v>28</v>
      </c>
      <c r="I21" s="2">
        <v>0</v>
      </c>
      <c r="J21" s="2">
        <v>1952.42</v>
      </c>
      <c r="K21" s="2">
        <v>1952.42</v>
      </c>
      <c r="L21" s="2" t="s">
        <v>50</v>
      </c>
      <c r="M21" s="5" t="s">
        <v>51</v>
      </c>
    </row>
    <row r="22" spans="1:13" x14ac:dyDescent="0.35">
      <c r="A22" s="4">
        <v>538174</v>
      </c>
      <c r="B22" s="2">
        <v>1322344974</v>
      </c>
      <c r="C22" s="2" t="s">
        <v>4</v>
      </c>
      <c r="D22" s="2" t="s">
        <v>17</v>
      </c>
      <c r="E22" s="3">
        <v>44159</v>
      </c>
      <c r="F22" s="2" t="s">
        <v>26</v>
      </c>
      <c r="G22" s="2" t="s">
        <v>27</v>
      </c>
      <c r="H22" s="2" t="s">
        <v>28</v>
      </c>
      <c r="I22" s="2">
        <v>0</v>
      </c>
      <c r="J22" s="2">
        <v>5025.71</v>
      </c>
      <c r="K22" s="2">
        <v>5025.71</v>
      </c>
      <c r="L22" s="2" t="s">
        <v>45</v>
      </c>
      <c r="M22" s="5" t="s">
        <v>51</v>
      </c>
    </row>
    <row r="23" spans="1:13" x14ac:dyDescent="0.35">
      <c r="A23" s="4">
        <v>110195</v>
      </c>
      <c r="B23" s="2">
        <v>8013666930</v>
      </c>
      <c r="C23" s="2" t="s">
        <v>3</v>
      </c>
      <c r="D23" s="2" t="s">
        <v>16</v>
      </c>
      <c r="E23" s="3">
        <v>44606</v>
      </c>
      <c r="F23" s="2" t="s">
        <v>21</v>
      </c>
      <c r="G23" s="2" t="s">
        <v>22</v>
      </c>
      <c r="H23" s="2" t="s">
        <v>29</v>
      </c>
      <c r="I23" s="2">
        <v>83.92</v>
      </c>
      <c r="J23" s="2">
        <v>3977.36</v>
      </c>
      <c r="K23" s="2">
        <v>3893.44</v>
      </c>
      <c r="L23" s="2" t="s">
        <v>41</v>
      </c>
      <c r="M23" s="5" t="s">
        <v>40</v>
      </c>
    </row>
    <row r="24" spans="1:13" x14ac:dyDescent="0.35">
      <c r="A24" s="4">
        <v>443120</v>
      </c>
      <c r="B24" s="2">
        <v>4473452038</v>
      </c>
      <c r="C24" s="2" t="s">
        <v>3</v>
      </c>
      <c r="D24" s="2" t="s">
        <v>20</v>
      </c>
      <c r="E24" s="3">
        <v>45116</v>
      </c>
      <c r="F24" s="2" t="s">
        <v>26</v>
      </c>
      <c r="G24" s="2" t="s">
        <v>22</v>
      </c>
      <c r="H24" s="2" t="s">
        <v>33</v>
      </c>
      <c r="I24" s="2">
        <v>268.54000000000002</v>
      </c>
      <c r="J24" s="2">
        <v>1495.2</v>
      </c>
      <c r="K24" s="2">
        <v>1226.6600000000001</v>
      </c>
      <c r="L24" s="2" t="s">
        <v>41</v>
      </c>
      <c r="M24" s="5" t="s">
        <v>51</v>
      </c>
    </row>
    <row r="25" spans="1:13" x14ac:dyDescent="0.35">
      <c r="A25" s="4">
        <v>910099</v>
      </c>
      <c r="B25" s="2">
        <v>7930280777</v>
      </c>
      <c r="C25" s="2" t="s">
        <v>5</v>
      </c>
      <c r="D25" s="2" t="s">
        <v>16</v>
      </c>
      <c r="E25" s="3">
        <v>45344</v>
      </c>
      <c r="F25" s="2" t="s">
        <v>21</v>
      </c>
      <c r="G25" s="2" t="s">
        <v>27</v>
      </c>
      <c r="H25" s="2" t="s">
        <v>28</v>
      </c>
      <c r="I25" s="2">
        <v>0</v>
      </c>
      <c r="J25" s="2">
        <v>1629.3</v>
      </c>
      <c r="K25" s="2">
        <v>1629.3</v>
      </c>
      <c r="L25" s="2" t="s">
        <v>37</v>
      </c>
      <c r="M25" s="5" t="s">
        <v>52</v>
      </c>
    </row>
    <row r="26" spans="1:13" x14ac:dyDescent="0.35">
      <c r="A26" s="4">
        <v>745014</v>
      </c>
      <c r="B26" s="2">
        <v>9202622469</v>
      </c>
      <c r="C26" s="2" t="s">
        <v>4</v>
      </c>
      <c r="D26" s="2" t="s">
        <v>18</v>
      </c>
      <c r="E26" s="3">
        <v>45021</v>
      </c>
      <c r="F26" s="2" t="s">
        <v>25</v>
      </c>
      <c r="G26" s="2" t="s">
        <v>22</v>
      </c>
      <c r="H26" s="2" t="s">
        <v>31</v>
      </c>
      <c r="I26" s="2">
        <v>75.72</v>
      </c>
      <c r="J26" s="2">
        <v>3579.91</v>
      </c>
      <c r="K26" s="2">
        <v>3504.19</v>
      </c>
      <c r="L26" s="2" t="s">
        <v>37</v>
      </c>
      <c r="M26" s="5" t="s">
        <v>51</v>
      </c>
    </row>
    <row r="27" spans="1:13" x14ac:dyDescent="0.35">
      <c r="A27" s="4">
        <v>292237</v>
      </c>
      <c r="B27" s="2">
        <v>1250629827</v>
      </c>
      <c r="C27" s="2" t="s">
        <v>5</v>
      </c>
      <c r="D27" s="2" t="s">
        <v>16</v>
      </c>
      <c r="E27" s="3">
        <v>44815</v>
      </c>
      <c r="F27" s="2" t="s">
        <v>35</v>
      </c>
      <c r="G27" s="2" t="s">
        <v>22</v>
      </c>
      <c r="H27" s="2" t="s">
        <v>23</v>
      </c>
      <c r="I27" s="2">
        <v>353.85</v>
      </c>
      <c r="J27" s="2">
        <v>1929.66</v>
      </c>
      <c r="K27" s="2">
        <v>1575.81</v>
      </c>
      <c r="L27" s="2" t="s">
        <v>37</v>
      </c>
      <c r="M27" s="5" t="s">
        <v>48</v>
      </c>
    </row>
    <row r="28" spans="1:13" x14ac:dyDescent="0.35">
      <c r="A28" s="4">
        <v>654718</v>
      </c>
      <c r="B28" s="2">
        <v>6758404906</v>
      </c>
      <c r="C28" s="2" t="s">
        <v>5</v>
      </c>
      <c r="D28" s="2" t="s">
        <v>20</v>
      </c>
      <c r="E28" s="3">
        <v>45129</v>
      </c>
      <c r="F28" s="2" t="s">
        <v>35</v>
      </c>
      <c r="G28" s="2" t="s">
        <v>27</v>
      </c>
      <c r="H28" s="2" t="s">
        <v>28</v>
      </c>
      <c r="I28" s="2">
        <v>0</v>
      </c>
      <c r="J28" s="2">
        <v>5058</v>
      </c>
      <c r="K28" s="2">
        <v>5058</v>
      </c>
      <c r="L28" s="2" t="s">
        <v>41</v>
      </c>
      <c r="M28" s="5" t="s">
        <v>51</v>
      </c>
    </row>
    <row r="29" spans="1:13" x14ac:dyDescent="0.35">
      <c r="A29" s="4">
        <v>772149</v>
      </c>
      <c r="B29" s="2">
        <v>2726106260</v>
      </c>
      <c r="C29" s="2" t="s">
        <v>5</v>
      </c>
      <c r="D29" s="2" t="s">
        <v>18</v>
      </c>
      <c r="E29" s="3">
        <v>44863</v>
      </c>
      <c r="F29" s="2" t="s">
        <v>25</v>
      </c>
      <c r="G29" s="2" t="s">
        <v>27</v>
      </c>
      <c r="H29" s="2" t="s">
        <v>28</v>
      </c>
      <c r="I29" s="2">
        <v>0</v>
      </c>
      <c r="J29" s="2">
        <v>2129.58</v>
      </c>
      <c r="K29" s="2">
        <v>2129.58</v>
      </c>
      <c r="L29" s="2" t="s">
        <v>37</v>
      </c>
      <c r="M29" s="5" t="s">
        <v>49</v>
      </c>
    </row>
    <row r="30" spans="1:13" x14ac:dyDescent="0.35">
      <c r="A30" s="4">
        <v>655550</v>
      </c>
      <c r="B30" s="2">
        <v>7463349293</v>
      </c>
      <c r="C30" s="2" t="s">
        <v>3</v>
      </c>
      <c r="D30" s="2" t="s">
        <v>18</v>
      </c>
      <c r="E30" s="3">
        <v>44179</v>
      </c>
      <c r="F30" s="2" t="s">
        <v>35</v>
      </c>
      <c r="G30" s="2" t="s">
        <v>27</v>
      </c>
      <c r="H30" s="2" t="s">
        <v>28</v>
      </c>
      <c r="I30" s="2">
        <v>0</v>
      </c>
      <c r="J30" s="2">
        <v>1164.8399999999999</v>
      </c>
      <c r="K30" s="2">
        <v>1164.8399999999999</v>
      </c>
      <c r="L30" s="2" t="s">
        <v>41</v>
      </c>
      <c r="M30" s="5" t="s">
        <v>39</v>
      </c>
    </row>
    <row r="31" spans="1:13" x14ac:dyDescent="0.35">
      <c r="A31" s="4">
        <v>566018</v>
      </c>
      <c r="B31" s="2">
        <v>6086235198</v>
      </c>
      <c r="C31" s="2" t="s">
        <v>5</v>
      </c>
      <c r="D31" s="2" t="s">
        <v>18</v>
      </c>
      <c r="E31" s="3">
        <v>43995</v>
      </c>
      <c r="F31" s="2" t="s">
        <v>32</v>
      </c>
      <c r="G31" s="2" t="s">
        <v>27</v>
      </c>
      <c r="H31" s="2" t="s">
        <v>28</v>
      </c>
      <c r="I31" s="2">
        <v>0</v>
      </c>
      <c r="J31" s="2">
        <v>2945.22</v>
      </c>
      <c r="K31" s="2">
        <v>2945.22</v>
      </c>
      <c r="L31" s="2" t="s">
        <v>37</v>
      </c>
      <c r="M31" s="5" t="s">
        <v>48</v>
      </c>
    </row>
    <row r="32" spans="1:13" x14ac:dyDescent="0.35">
      <c r="A32" s="4">
        <v>336108</v>
      </c>
      <c r="B32" s="2">
        <v>2957151067</v>
      </c>
      <c r="C32" s="2" t="s">
        <v>3</v>
      </c>
      <c r="D32" s="2" t="s">
        <v>16</v>
      </c>
      <c r="E32" s="3">
        <v>45261</v>
      </c>
      <c r="F32" s="2" t="s">
        <v>32</v>
      </c>
      <c r="G32" s="2" t="s">
        <v>22</v>
      </c>
      <c r="H32" s="2" t="s">
        <v>33</v>
      </c>
      <c r="I32" s="2">
        <v>450.37</v>
      </c>
      <c r="J32" s="2">
        <v>4050.78</v>
      </c>
      <c r="K32" s="2">
        <v>3600.41</v>
      </c>
      <c r="L32" s="2" t="s">
        <v>37</v>
      </c>
      <c r="M32" s="5" t="s">
        <v>53</v>
      </c>
    </row>
    <row r="33" spans="1:13" x14ac:dyDescent="0.35">
      <c r="A33" s="4">
        <v>521139</v>
      </c>
      <c r="B33" s="2">
        <v>2736057295</v>
      </c>
      <c r="C33" s="2" t="s">
        <v>3</v>
      </c>
      <c r="D33" s="2" t="s">
        <v>18</v>
      </c>
      <c r="E33" s="3">
        <v>44851</v>
      </c>
      <c r="F33" s="2" t="s">
        <v>35</v>
      </c>
      <c r="G33" s="2" t="s">
        <v>27</v>
      </c>
      <c r="H33" s="2" t="s">
        <v>28</v>
      </c>
      <c r="I33" s="2">
        <v>0</v>
      </c>
      <c r="J33" s="2">
        <v>3290.56</v>
      </c>
      <c r="K33" s="2">
        <v>3290.56</v>
      </c>
      <c r="L33" s="2" t="s">
        <v>45</v>
      </c>
      <c r="M33" s="5" t="s">
        <v>49</v>
      </c>
    </row>
    <row r="34" spans="1:13" x14ac:dyDescent="0.35">
      <c r="A34" s="4">
        <v>171973</v>
      </c>
      <c r="B34" s="2">
        <v>7034831125</v>
      </c>
      <c r="C34" s="2" t="s">
        <v>5</v>
      </c>
      <c r="D34" s="2" t="s">
        <v>16</v>
      </c>
      <c r="E34" s="3">
        <v>43689</v>
      </c>
      <c r="F34" s="2" t="s">
        <v>32</v>
      </c>
      <c r="G34" s="2" t="s">
        <v>22</v>
      </c>
      <c r="H34" s="2" t="s">
        <v>24</v>
      </c>
      <c r="I34" s="2">
        <v>108.87</v>
      </c>
      <c r="J34" s="2">
        <v>6862.83</v>
      </c>
      <c r="K34" s="2">
        <v>6753.96</v>
      </c>
      <c r="L34" s="2" t="s">
        <v>37</v>
      </c>
      <c r="M34" s="5" t="s">
        <v>40</v>
      </c>
    </row>
    <row r="35" spans="1:13" x14ac:dyDescent="0.35">
      <c r="A35" s="4">
        <v>427162</v>
      </c>
      <c r="B35" s="2">
        <v>6407323241</v>
      </c>
      <c r="C35" s="2" t="s">
        <v>5</v>
      </c>
      <c r="D35" s="2" t="s">
        <v>20</v>
      </c>
      <c r="E35" s="3">
        <v>43752</v>
      </c>
      <c r="F35" s="2" t="s">
        <v>35</v>
      </c>
      <c r="G35" s="2" t="s">
        <v>22</v>
      </c>
      <c r="H35" s="2" t="s">
        <v>24</v>
      </c>
      <c r="I35" s="2">
        <v>425.57</v>
      </c>
      <c r="J35" s="2">
        <v>3272.69</v>
      </c>
      <c r="K35" s="2">
        <v>2847.12</v>
      </c>
      <c r="L35" s="2" t="s">
        <v>41</v>
      </c>
      <c r="M35" s="5" t="s">
        <v>51</v>
      </c>
    </row>
    <row r="36" spans="1:13" x14ac:dyDescent="0.35">
      <c r="A36" s="4">
        <v>572298</v>
      </c>
      <c r="B36" s="2">
        <v>3046169433</v>
      </c>
      <c r="C36" s="2" t="s">
        <v>4</v>
      </c>
      <c r="D36" s="2" t="s">
        <v>19</v>
      </c>
      <c r="E36" s="3">
        <v>43860</v>
      </c>
      <c r="F36" s="2" t="s">
        <v>21</v>
      </c>
      <c r="G36" s="2" t="s">
        <v>22</v>
      </c>
      <c r="H36" s="2" t="s">
        <v>29</v>
      </c>
      <c r="I36" s="2">
        <v>144.53</v>
      </c>
      <c r="J36" s="2">
        <v>1285.4100000000001</v>
      </c>
      <c r="K36" s="2">
        <v>1140.8800000000001</v>
      </c>
      <c r="L36" s="2" t="s">
        <v>37</v>
      </c>
      <c r="M36" s="5" t="s">
        <v>46</v>
      </c>
    </row>
    <row r="37" spans="1:13" x14ac:dyDescent="0.35">
      <c r="A37" s="4">
        <v>592489</v>
      </c>
      <c r="B37" s="2">
        <v>5651462936</v>
      </c>
      <c r="C37" s="2" t="s">
        <v>4</v>
      </c>
      <c r="D37" s="2" t="s">
        <v>17</v>
      </c>
      <c r="E37" s="3">
        <v>44580</v>
      </c>
      <c r="F37" s="2" t="s">
        <v>35</v>
      </c>
      <c r="G37" s="2" t="s">
        <v>22</v>
      </c>
      <c r="H37" s="2" t="s">
        <v>29</v>
      </c>
      <c r="I37" s="2">
        <v>489.29</v>
      </c>
      <c r="J37" s="2">
        <v>4225.12</v>
      </c>
      <c r="K37" s="2">
        <v>3735.83</v>
      </c>
      <c r="L37" s="2" t="s">
        <v>43</v>
      </c>
      <c r="M37" s="5" t="s">
        <v>44</v>
      </c>
    </row>
    <row r="38" spans="1:13" x14ac:dyDescent="0.35">
      <c r="A38" s="4">
        <v>297594</v>
      </c>
      <c r="B38" s="2">
        <v>1955554145</v>
      </c>
      <c r="C38" s="2" t="s">
        <v>3</v>
      </c>
      <c r="D38" s="2" t="s">
        <v>19</v>
      </c>
      <c r="E38" s="3">
        <v>44754</v>
      </c>
      <c r="F38" s="2" t="s">
        <v>26</v>
      </c>
      <c r="G38" s="2" t="s">
        <v>22</v>
      </c>
      <c r="H38" s="2" t="s">
        <v>33</v>
      </c>
      <c r="I38" s="2">
        <v>404.32</v>
      </c>
      <c r="J38" s="2">
        <v>1085.56</v>
      </c>
      <c r="K38" s="2">
        <v>681.24</v>
      </c>
      <c r="L38" s="2" t="s">
        <v>37</v>
      </c>
      <c r="M38" s="5" t="s">
        <v>54</v>
      </c>
    </row>
    <row r="39" spans="1:13" x14ac:dyDescent="0.35">
      <c r="A39" s="4">
        <v>862400</v>
      </c>
      <c r="B39" s="2">
        <v>6068201504</v>
      </c>
      <c r="C39" s="2" t="s">
        <v>5</v>
      </c>
      <c r="D39" s="2" t="s">
        <v>16</v>
      </c>
      <c r="E39" s="3">
        <v>43853</v>
      </c>
      <c r="F39" s="2" t="s">
        <v>21</v>
      </c>
      <c r="G39" s="2" t="s">
        <v>22</v>
      </c>
      <c r="H39" s="2" t="s">
        <v>33</v>
      </c>
      <c r="I39" s="2">
        <v>347.01</v>
      </c>
      <c r="J39" s="2">
        <v>1968.02</v>
      </c>
      <c r="K39" s="2">
        <v>1621.01</v>
      </c>
      <c r="L39" s="2" t="s">
        <v>50</v>
      </c>
      <c r="M39" s="5" t="s">
        <v>40</v>
      </c>
    </row>
    <row r="40" spans="1:13" x14ac:dyDescent="0.35">
      <c r="A40" s="4">
        <v>343390</v>
      </c>
      <c r="B40" s="2">
        <v>7493781432</v>
      </c>
      <c r="C40" s="2" t="s">
        <v>5</v>
      </c>
      <c r="D40" s="2" t="s">
        <v>16</v>
      </c>
      <c r="E40" s="3">
        <v>43898</v>
      </c>
      <c r="F40" s="2" t="s">
        <v>5</v>
      </c>
      <c r="G40" s="2" t="s">
        <v>27</v>
      </c>
      <c r="H40" s="2" t="s">
        <v>28</v>
      </c>
      <c r="I40" s="2">
        <v>0</v>
      </c>
      <c r="J40" s="2">
        <v>4940.57</v>
      </c>
      <c r="K40" s="2">
        <v>4940.57</v>
      </c>
      <c r="L40" s="2" t="s">
        <v>37</v>
      </c>
      <c r="M40" s="5" t="s">
        <v>40</v>
      </c>
    </row>
    <row r="41" spans="1:13" x14ac:dyDescent="0.35">
      <c r="A41" s="4">
        <v>657783</v>
      </c>
      <c r="B41" s="2">
        <v>4766466385</v>
      </c>
      <c r="C41" s="2" t="s">
        <v>5</v>
      </c>
      <c r="D41" s="2" t="s">
        <v>17</v>
      </c>
      <c r="E41" s="3">
        <v>43738</v>
      </c>
      <c r="F41" s="2" t="s">
        <v>21</v>
      </c>
      <c r="G41" s="2" t="s">
        <v>27</v>
      </c>
      <c r="H41" s="2" t="s">
        <v>28</v>
      </c>
      <c r="I41" s="2">
        <v>0</v>
      </c>
      <c r="J41" s="2">
        <v>1917.91</v>
      </c>
      <c r="K41" s="2">
        <v>1917.91</v>
      </c>
      <c r="L41" s="2" t="s">
        <v>41</v>
      </c>
      <c r="M41" s="5" t="s">
        <v>51</v>
      </c>
    </row>
    <row r="42" spans="1:13" x14ac:dyDescent="0.35">
      <c r="A42" s="4">
        <v>520940</v>
      </c>
      <c r="B42" s="2">
        <v>7063849825</v>
      </c>
      <c r="C42" s="2" t="s">
        <v>4</v>
      </c>
      <c r="D42" s="2" t="s">
        <v>19</v>
      </c>
      <c r="E42" s="3">
        <v>45409</v>
      </c>
      <c r="F42" s="2" t="s">
        <v>5</v>
      </c>
      <c r="G42" s="2" t="s">
        <v>22</v>
      </c>
      <c r="H42" s="2" t="s">
        <v>31</v>
      </c>
      <c r="I42" s="2">
        <v>50.76</v>
      </c>
      <c r="J42" s="2">
        <v>5798.8</v>
      </c>
      <c r="K42" s="2">
        <v>5748.04</v>
      </c>
      <c r="L42" s="2" t="s">
        <v>37</v>
      </c>
      <c r="M42" s="5" t="s">
        <v>51</v>
      </c>
    </row>
    <row r="43" spans="1:13" x14ac:dyDescent="0.35">
      <c r="A43" s="4">
        <v>338169</v>
      </c>
      <c r="B43" s="2">
        <v>3574854627</v>
      </c>
      <c r="C43" s="2" t="s">
        <v>5</v>
      </c>
      <c r="D43" s="2" t="s">
        <v>18</v>
      </c>
      <c r="E43" s="3">
        <v>44866</v>
      </c>
      <c r="F43" s="2" t="s">
        <v>36</v>
      </c>
      <c r="G43" s="2" t="s">
        <v>27</v>
      </c>
      <c r="H43" s="2" t="s">
        <v>28</v>
      </c>
      <c r="I43" s="2">
        <v>0</v>
      </c>
      <c r="J43" s="2">
        <v>3283.33</v>
      </c>
      <c r="K43" s="2">
        <v>3283.33</v>
      </c>
      <c r="L43" s="2" t="s">
        <v>45</v>
      </c>
      <c r="M43" s="5" t="s">
        <v>39</v>
      </c>
    </row>
    <row r="44" spans="1:13" x14ac:dyDescent="0.35">
      <c r="A44" s="4">
        <v>652388</v>
      </c>
      <c r="B44" s="2">
        <v>5725712173</v>
      </c>
      <c r="C44" s="2" t="s">
        <v>5</v>
      </c>
      <c r="D44" s="2" t="s">
        <v>16</v>
      </c>
      <c r="E44" s="3">
        <v>44148</v>
      </c>
      <c r="F44" s="2" t="s">
        <v>25</v>
      </c>
      <c r="G44" s="2" t="s">
        <v>27</v>
      </c>
      <c r="H44" s="2" t="s">
        <v>28</v>
      </c>
      <c r="I44" s="2">
        <v>0</v>
      </c>
      <c r="J44" s="2">
        <v>3875.1</v>
      </c>
      <c r="K44" s="2">
        <v>3875.1</v>
      </c>
      <c r="L44" s="2" t="s">
        <v>37</v>
      </c>
      <c r="M44" s="5" t="s">
        <v>39</v>
      </c>
    </row>
    <row r="45" spans="1:13" x14ac:dyDescent="0.35">
      <c r="A45" s="4">
        <v>124240</v>
      </c>
      <c r="B45" s="2">
        <v>3303385112</v>
      </c>
      <c r="C45" s="2" t="s">
        <v>4</v>
      </c>
      <c r="D45" s="2" t="s">
        <v>19</v>
      </c>
      <c r="E45" s="3">
        <v>43751</v>
      </c>
      <c r="F45" s="2" t="s">
        <v>36</v>
      </c>
      <c r="G45" s="2" t="s">
        <v>27</v>
      </c>
      <c r="H45" s="2" t="s">
        <v>28</v>
      </c>
      <c r="I45" s="2">
        <v>0</v>
      </c>
      <c r="J45" s="2">
        <v>2331.41</v>
      </c>
      <c r="K45" s="2">
        <v>2331.41</v>
      </c>
      <c r="L45" s="2" t="s">
        <v>45</v>
      </c>
      <c r="M45" s="5" t="s">
        <v>49</v>
      </c>
    </row>
    <row r="46" spans="1:13" x14ac:dyDescent="0.35">
      <c r="A46" s="4">
        <v>850800</v>
      </c>
      <c r="B46" s="2">
        <v>7320956570</v>
      </c>
      <c r="C46" s="2" t="s">
        <v>3</v>
      </c>
      <c r="D46" s="2" t="s">
        <v>16</v>
      </c>
      <c r="E46" s="3">
        <v>44250</v>
      </c>
      <c r="F46" s="2" t="s">
        <v>21</v>
      </c>
      <c r="G46" s="2" t="s">
        <v>27</v>
      </c>
      <c r="H46" s="2" t="s">
        <v>28</v>
      </c>
      <c r="I46" s="2">
        <v>0</v>
      </c>
      <c r="J46" s="2">
        <v>2145.34</v>
      </c>
      <c r="K46" s="2">
        <v>2145.34</v>
      </c>
      <c r="L46" s="2" t="s">
        <v>47</v>
      </c>
      <c r="M46" s="5" t="s">
        <v>40</v>
      </c>
    </row>
    <row r="47" spans="1:13" x14ac:dyDescent="0.35">
      <c r="A47" s="4">
        <v>860652</v>
      </c>
      <c r="B47" s="2">
        <v>4092870576</v>
      </c>
      <c r="C47" s="2" t="s">
        <v>4</v>
      </c>
      <c r="D47" s="2" t="s">
        <v>16</v>
      </c>
      <c r="E47" s="3">
        <v>43840</v>
      </c>
      <c r="F47" s="2" t="s">
        <v>34</v>
      </c>
      <c r="G47" s="2" t="s">
        <v>27</v>
      </c>
      <c r="H47" s="2" t="s">
        <v>28</v>
      </c>
      <c r="I47" s="2">
        <v>0</v>
      </c>
      <c r="J47" s="2">
        <v>3060.68</v>
      </c>
      <c r="K47" s="2">
        <v>3060.68</v>
      </c>
      <c r="L47" s="2" t="s">
        <v>55</v>
      </c>
      <c r="M47" s="5" t="s">
        <v>38</v>
      </c>
    </row>
    <row r="48" spans="1:13" x14ac:dyDescent="0.35">
      <c r="A48" s="4">
        <v>892356</v>
      </c>
      <c r="B48" s="2">
        <v>1692940438</v>
      </c>
      <c r="C48" s="2" t="s">
        <v>3</v>
      </c>
      <c r="D48" s="2" t="s">
        <v>18</v>
      </c>
      <c r="E48" s="3">
        <v>44205</v>
      </c>
      <c r="F48" s="2" t="s">
        <v>36</v>
      </c>
      <c r="G48" s="2" t="s">
        <v>22</v>
      </c>
      <c r="H48" s="2" t="s">
        <v>33</v>
      </c>
      <c r="I48" s="2">
        <v>160.18</v>
      </c>
      <c r="J48" s="2">
        <v>2834.84</v>
      </c>
      <c r="K48" s="2">
        <v>2674.66</v>
      </c>
      <c r="L48" s="2" t="s">
        <v>37</v>
      </c>
      <c r="M48" s="5" t="s">
        <v>54</v>
      </c>
    </row>
    <row r="49" spans="1:13" x14ac:dyDescent="0.35">
      <c r="A49" s="4">
        <v>189026</v>
      </c>
      <c r="B49" s="2">
        <v>1636012605</v>
      </c>
      <c r="C49" s="2" t="s">
        <v>4</v>
      </c>
      <c r="D49" s="2" t="s">
        <v>16</v>
      </c>
      <c r="E49" s="3">
        <v>44271</v>
      </c>
      <c r="F49" s="2" t="s">
        <v>32</v>
      </c>
      <c r="G49" s="2" t="s">
        <v>27</v>
      </c>
      <c r="H49" s="2" t="s">
        <v>28</v>
      </c>
      <c r="I49" s="2">
        <v>0</v>
      </c>
      <c r="J49" s="2">
        <v>1393.32</v>
      </c>
      <c r="K49" s="2">
        <v>1393.32</v>
      </c>
      <c r="L49" s="2" t="s">
        <v>41</v>
      </c>
      <c r="M49" s="5" t="s">
        <v>40</v>
      </c>
    </row>
    <row r="50" spans="1:13" x14ac:dyDescent="0.35">
      <c r="A50" s="4">
        <v>543555</v>
      </c>
      <c r="B50" s="2">
        <v>3388286985</v>
      </c>
      <c r="C50" s="2" t="s">
        <v>5</v>
      </c>
      <c r="D50" s="2" t="s">
        <v>19</v>
      </c>
      <c r="E50" s="3">
        <v>44609</v>
      </c>
      <c r="F50" s="2" t="s">
        <v>32</v>
      </c>
      <c r="G50" s="2" t="s">
        <v>27</v>
      </c>
      <c r="H50" s="2" t="s">
        <v>28</v>
      </c>
      <c r="I50" s="2">
        <v>0</v>
      </c>
      <c r="J50" s="2">
        <v>384.7</v>
      </c>
      <c r="K50" s="2">
        <v>384.7</v>
      </c>
      <c r="L50" s="2" t="s">
        <v>43</v>
      </c>
      <c r="M50" s="5" t="s">
        <v>40</v>
      </c>
    </row>
    <row r="51" spans="1:13" x14ac:dyDescent="0.35">
      <c r="A51" s="4">
        <v>130710</v>
      </c>
      <c r="B51" s="2">
        <v>9646503430</v>
      </c>
      <c r="C51" s="2" t="s">
        <v>5</v>
      </c>
      <c r="D51" s="2" t="s">
        <v>16</v>
      </c>
      <c r="E51" s="3">
        <v>44590</v>
      </c>
      <c r="F51" s="2" t="s">
        <v>21</v>
      </c>
      <c r="G51" s="2" t="s">
        <v>27</v>
      </c>
      <c r="H51" s="2" t="s">
        <v>28</v>
      </c>
      <c r="I51" s="2">
        <v>0</v>
      </c>
      <c r="J51" s="2">
        <v>4924.21</v>
      </c>
      <c r="K51" s="2">
        <v>4924.21</v>
      </c>
      <c r="L51" s="2" t="s">
        <v>37</v>
      </c>
      <c r="M51" s="5" t="s">
        <v>39</v>
      </c>
    </row>
    <row r="52" spans="1:13" x14ac:dyDescent="0.35">
      <c r="A52" s="4">
        <v>970294</v>
      </c>
      <c r="B52" s="2">
        <v>7318079236</v>
      </c>
      <c r="C52" s="2" t="s">
        <v>4</v>
      </c>
      <c r="D52" s="2" t="s">
        <v>19</v>
      </c>
      <c r="E52" s="3">
        <v>44210</v>
      </c>
      <c r="F52" s="2" t="s">
        <v>26</v>
      </c>
      <c r="G52" s="2" t="s">
        <v>22</v>
      </c>
      <c r="H52" s="2" t="s">
        <v>31</v>
      </c>
      <c r="I52" s="2">
        <v>263.60000000000002</v>
      </c>
      <c r="J52" s="2">
        <v>1393.01</v>
      </c>
      <c r="K52" s="2">
        <v>1129.4100000000001</v>
      </c>
      <c r="L52" s="2" t="s">
        <v>41</v>
      </c>
      <c r="M52" s="5" t="s">
        <v>39</v>
      </c>
    </row>
    <row r="53" spans="1:13" x14ac:dyDescent="0.35">
      <c r="A53" s="4">
        <v>517654</v>
      </c>
      <c r="B53" s="2">
        <v>3259190770</v>
      </c>
      <c r="C53" s="2" t="s">
        <v>5</v>
      </c>
      <c r="D53" s="2" t="s">
        <v>16</v>
      </c>
      <c r="E53" s="3">
        <v>44691</v>
      </c>
      <c r="F53" s="2" t="s">
        <v>21</v>
      </c>
      <c r="G53" s="2" t="s">
        <v>27</v>
      </c>
      <c r="H53" s="2" t="s">
        <v>28</v>
      </c>
      <c r="I53" s="2">
        <v>0</v>
      </c>
      <c r="J53" s="2">
        <v>665.12</v>
      </c>
      <c r="K53" s="2">
        <v>665.12</v>
      </c>
      <c r="L53" s="2" t="s">
        <v>47</v>
      </c>
      <c r="M53" s="5" t="s">
        <v>40</v>
      </c>
    </row>
    <row r="54" spans="1:13" x14ac:dyDescent="0.35">
      <c r="A54" s="4">
        <v>873964</v>
      </c>
      <c r="B54" s="2">
        <v>2276293556</v>
      </c>
      <c r="C54" s="2" t="s">
        <v>3</v>
      </c>
      <c r="D54" s="2" t="s">
        <v>18</v>
      </c>
      <c r="E54" s="3">
        <v>43731</v>
      </c>
      <c r="F54" s="2" t="s">
        <v>25</v>
      </c>
      <c r="G54" s="2" t="s">
        <v>27</v>
      </c>
      <c r="H54" s="2" t="s">
        <v>28</v>
      </c>
      <c r="I54" s="2">
        <v>0</v>
      </c>
      <c r="J54" s="2">
        <v>3691.44</v>
      </c>
      <c r="K54" s="2">
        <v>3691.44</v>
      </c>
      <c r="L54" s="2" t="s">
        <v>43</v>
      </c>
      <c r="M54" s="5" t="s">
        <v>51</v>
      </c>
    </row>
    <row r="55" spans="1:13" x14ac:dyDescent="0.35">
      <c r="A55" s="4">
        <v>871754</v>
      </c>
      <c r="B55" s="2">
        <v>2172180491</v>
      </c>
      <c r="C55" s="2" t="s">
        <v>3</v>
      </c>
      <c r="D55" s="2" t="s">
        <v>16</v>
      </c>
      <c r="E55" s="3">
        <v>43848</v>
      </c>
      <c r="F55" s="2" t="s">
        <v>25</v>
      </c>
      <c r="G55" s="2" t="s">
        <v>27</v>
      </c>
      <c r="H55" s="2" t="s">
        <v>28</v>
      </c>
      <c r="I55" s="2">
        <v>0</v>
      </c>
      <c r="J55" s="2">
        <v>1926.82</v>
      </c>
      <c r="K55" s="2">
        <v>1926.82</v>
      </c>
      <c r="L55" s="2" t="s">
        <v>41</v>
      </c>
      <c r="M55" s="5" t="s">
        <v>40</v>
      </c>
    </row>
    <row r="56" spans="1:13" x14ac:dyDescent="0.35">
      <c r="A56" s="4">
        <v>247515</v>
      </c>
      <c r="B56" s="2">
        <v>7675430541</v>
      </c>
      <c r="C56" s="2" t="s">
        <v>5</v>
      </c>
      <c r="D56" s="2" t="s">
        <v>16</v>
      </c>
      <c r="E56" s="3">
        <v>45132</v>
      </c>
      <c r="F56" s="2" t="s">
        <v>21</v>
      </c>
      <c r="G56" s="2" t="s">
        <v>27</v>
      </c>
      <c r="H56" s="2" t="s">
        <v>28</v>
      </c>
      <c r="I56" s="2">
        <v>0</v>
      </c>
      <c r="J56" s="2">
        <v>1726.13</v>
      </c>
      <c r="K56" s="2">
        <v>1726.13</v>
      </c>
      <c r="L56" s="2" t="s">
        <v>43</v>
      </c>
      <c r="M56" s="5" t="s">
        <v>39</v>
      </c>
    </row>
    <row r="57" spans="1:13" x14ac:dyDescent="0.35">
      <c r="A57" s="4">
        <v>770342</v>
      </c>
      <c r="B57" s="2">
        <v>1497451839</v>
      </c>
      <c r="C57" s="2" t="s">
        <v>5</v>
      </c>
      <c r="D57" s="2" t="s">
        <v>16</v>
      </c>
      <c r="E57" s="3">
        <v>44886</v>
      </c>
      <c r="F57" s="2" t="s">
        <v>36</v>
      </c>
      <c r="G57" s="2" t="s">
        <v>22</v>
      </c>
      <c r="H57" s="2" t="s">
        <v>24</v>
      </c>
      <c r="I57" s="2">
        <v>172.82</v>
      </c>
      <c r="J57" s="2">
        <v>3745.51</v>
      </c>
      <c r="K57" s="2">
        <v>3572.69</v>
      </c>
      <c r="L57" s="2" t="s">
        <v>41</v>
      </c>
      <c r="M57" s="5" t="s">
        <v>39</v>
      </c>
    </row>
    <row r="58" spans="1:13" x14ac:dyDescent="0.35">
      <c r="A58" s="4">
        <v>136445</v>
      </c>
      <c r="B58" s="2">
        <v>6352709082</v>
      </c>
      <c r="C58" s="2" t="s">
        <v>4</v>
      </c>
      <c r="D58" s="2" t="s">
        <v>18</v>
      </c>
      <c r="E58" s="3">
        <v>43819</v>
      </c>
      <c r="F58" s="2" t="s">
        <v>26</v>
      </c>
      <c r="G58" s="2" t="s">
        <v>22</v>
      </c>
      <c r="H58" s="2" t="s">
        <v>29</v>
      </c>
      <c r="I58" s="2">
        <v>290.36</v>
      </c>
      <c r="J58" s="2">
        <v>6368.04</v>
      </c>
      <c r="K58" s="2">
        <v>6077.68</v>
      </c>
      <c r="L58" s="2" t="s">
        <v>41</v>
      </c>
      <c r="M58" s="5" t="s">
        <v>39</v>
      </c>
    </row>
    <row r="59" spans="1:13" x14ac:dyDescent="0.35">
      <c r="A59" s="4">
        <v>983370</v>
      </c>
      <c r="B59" s="2">
        <v>2350417425</v>
      </c>
      <c r="C59" s="2" t="s">
        <v>4</v>
      </c>
      <c r="D59" s="2" t="s">
        <v>18</v>
      </c>
      <c r="E59" s="3">
        <v>44687</v>
      </c>
      <c r="F59" s="2" t="s">
        <v>21</v>
      </c>
      <c r="G59" s="2" t="s">
        <v>22</v>
      </c>
      <c r="H59" s="2" t="s">
        <v>33</v>
      </c>
      <c r="I59" s="2">
        <v>197.31</v>
      </c>
      <c r="J59" s="2">
        <v>2437.73</v>
      </c>
      <c r="K59" s="2">
        <v>2240.42</v>
      </c>
      <c r="L59" s="2" t="s">
        <v>41</v>
      </c>
      <c r="M59" s="5" t="s">
        <v>39</v>
      </c>
    </row>
    <row r="60" spans="1:13" x14ac:dyDescent="0.35">
      <c r="A60" s="4">
        <v>166191</v>
      </c>
      <c r="B60" s="2">
        <v>9348038100</v>
      </c>
      <c r="C60" s="2" t="s">
        <v>5</v>
      </c>
      <c r="D60" s="2" t="s">
        <v>19</v>
      </c>
      <c r="E60" s="3">
        <v>44179</v>
      </c>
      <c r="F60" s="2" t="s">
        <v>25</v>
      </c>
      <c r="G60" s="2" t="s">
        <v>22</v>
      </c>
      <c r="H60" s="2" t="s">
        <v>24</v>
      </c>
      <c r="I60" s="2">
        <v>387.06</v>
      </c>
      <c r="J60" s="2">
        <v>591.85</v>
      </c>
      <c r="K60" s="2">
        <v>204.79</v>
      </c>
      <c r="L60" s="2" t="s">
        <v>47</v>
      </c>
      <c r="M60" s="5" t="s">
        <v>40</v>
      </c>
    </row>
    <row r="61" spans="1:13" x14ac:dyDescent="0.35">
      <c r="A61" s="4">
        <v>206470</v>
      </c>
      <c r="B61" s="2">
        <v>3542829706</v>
      </c>
      <c r="C61" s="2" t="s">
        <v>3</v>
      </c>
      <c r="D61" s="2" t="s">
        <v>20</v>
      </c>
      <c r="E61" s="3">
        <v>43751</v>
      </c>
      <c r="F61" s="2" t="s">
        <v>21</v>
      </c>
      <c r="G61" s="2" t="s">
        <v>22</v>
      </c>
      <c r="H61" s="2" t="s">
        <v>33</v>
      </c>
      <c r="I61" s="2">
        <v>59.17</v>
      </c>
      <c r="J61" s="2">
        <v>977.96</v>
      </c>
      <c r="K61" s="2">
        <v>918.79</v>
      </c>
      <c r="L61" s="2" t="s">
        <v>55</v>
      </c>
      <c r="M61" s="5" t="s">
        <v>51</v>
      </c>
    </row>
    <row r="62" spans="1:13" x14ac:dyDescent="0.35">
      <c r="A62" s="4">
        <v>938970</v>
      </c>
      <c r="B62" s="2">
        <v>7170496447</v>
      </c>
      <c r="C62" s="2" t="s">
        <v>4</v>
      </c>
      <c r="D62" s="2" t="s">
        <v>16</v>
      </c>
      <c r="E62" s="3">
        <v>44093</v>
      </c>
      <c r="F62" s="2" t="s">
        <v>21</v>
      </c>
      <c r="G62" s="2" t="s">
        <v>27</v>
      </c>
      <c r="H62" s="2" t="s">
        <v>28</v>
      </c>
      <c r="I62" s="2">
        <v>0</v>
      </c>
      <c r="J62" s="2">
        <v>1062.57</v>
      </c>
      <c r="K62" s="2">
        <v>1062.57</v>
      </c>
      <c r="L62" s="2" t="s">
        <v>42</v>
      </c>
      <c r="M62" s="5" t="s">
        <v>40</v>
      </c>
    </row>
    <row r="63" spans="1:13" x14ac:dyDescent="0.35">
      <c r="A63" s="4">
        <v>989136</v>
      </c>
      <c r="B63" s="2">
        <v>5211405428</v>
      </c>
      <c r="C63" s="2" t="s">
        <v>5</v>
      </c>
      <c r="D63" s="2" t="s">
        <v>16</v>
      </c>
      <c r="E63" s="3">
        <v>44935</v>
      </c>
      <c r="F63" s="2" t="s">
        <v>21</v>
      </c>
      <c r="G63" s="2" t="s">
        <v>27</v>
      </c>
      <c r="H63" s="2" t="s">
        <v>28</v>
      </c>
      <c r="I63" s="2">
        <v>0</v>
      </c>
      <c r="J63" s="2">
        <v>2612.9499999999998</v>
      </c>
      <c r="K63" s="2">
        <v>2612.9499999999998</v>
      </c>
      <c r="L63" s="2" t="s">
        <v>37</v>
      </c>
      <c r="M63" s="5" t="s">
        <v>52</v>
      </c>
    </row>
    <row r="64" spans="1:13" x14ac:dyDescent="0.35">
      <c r="A64" s="4">
        <v>143141</v>
      </c>
      <c r="B64" s="2">
        <v>3251382571</v>
      </c>
      <c r="C64" s="2" t="s">
        <v>3</v>
      </c>
      <c r="D64" s="2" t="s">
        <v>18</v>
      </c>
      <c r="E64" s="3">
        <v>43818</v>
      </c>
      <c r="F64" s="2" t="s">
        <v>26</v>
      </c>
      <c r="G64" s="2" t="s">
        <v>22</v>
      </c>
      <c r="H64" s="2" t="s">
        <v>31</v>
      </c>
      <c r="I64" s="2">
        <v>304.67</v>
      </c>
      <c r="J64" s="2">
        <v>488.87</v>
      </c>
      <c r="K64" s="2">
        <v>184.2</v>
      </c>
      <c r="L64" s="2" t="s">
        <v>41</v>
      </c>
      <c r="M64" s="5" t="s">
        <v>44</v>
      </c>
    </row>
    <row r="65" spans="1:13" x14ac:dyDescent="0.35">
      <c r="A65" s="4">
        <v>616643</v>
      </c>
      <c r="B65" s="2">
        <v>3321212528</v>
      </c>
      <c r="C65" s="2" t="s">
        <v>4</v>
      </c>
      <c r="D65" s="2" t="s">
        <v>18</v>
      </c>
      <c r="E65" s="3">
        <v>43866</v>
      </c>
      <c r="F65" s="2" t="s">
        <v>25</v>
      </c>
      <c r="G65" s="2" t="s">
        <v>27</v>
      </c>
      <c r="H65" s="2" t="s">
        <v>28</v>
      </c>
      <c r="I65" s="2">
        <v>0</v>
      </c>
      <c r="J65" s="2">
        <v>694.95</v>
      </c>
      <c r="K65" s="2">
        <v>694.95</v>
      </c>
      <c r="L65" s="2" t="s">
        <v>41</v>
      </c>
      <c r="M65" s="5" t="s">
        <v>48</v>
      </c>
    </row>
    <row r="66" spans="1:13" x14ac:dyDescent="0.35">
      <c r="A66" s="4">
        <v>559693</v>
      </c>
      <c r="B66" s="2">
        <v>2288928005</v>
      </c>
      <c r="C66" s="2" t="s">
        <v>4</v>
      </c>
      <c r="D66" s="2" t="s">
        <v>16</v>
      </c>
      <c r="E66" s="3">
        <v>44564</v>
      </c>
      <c r="F66" s="2" t="s">
        <v>32</v>
      </c>
      <c r="G66" s="2" t="s">
        <v>27</v>
      </c>
      <c r="H66" s="2" t="s">
        <v>28</v>
      </c>
      <c r="I66" s="2">
        <v>0</v>
      </c>
      <c r="J66" s="2">
        <v>3427.36</v>
      </c>
      <c r="K66" s="2">
        <v>3427.36</v>
      </c>
      <c r="L66" s="2" t="s">
        <v>45</v>
      </c>
      <c r="M66" s="5" t="s">
        <v>44</v>
      </c>
    </row>
    <row r="67" spans="1:13" x14ac:dyDescent="0.35">
      <c r="A67" s="4">
        <v>695402</v>
      </c>
      <c r="B67" s="2">
        <v>2414884090</v>
      </c>
      <c r="C67" s="2" t="s">
        <v>5</v>
      </c>
      <c r="D67" s="2" t="s">
        <v>16</v>
      </c>
      <c r="E67" s="3">
        <v>44899</v>
      </c>
      <c r="F67" s="2" t="s">
        <v>25</v>
      </c>
      <c r="G67" s="2" t="s">
        <v>22</v>
      </c>
      <c r="H67" s="2" t="s">
        <v>31</v>
      </c>
      <c r="I67" s="2">
        <v>89</v>
      </c>
      <c r="J67" s="2">
        <v>5089.8</v>
      </c>
      <c r="K67" s="2">
        <v>5000.8</v>
      </c>
      <c r="L67" s="2" t="s">
        <v>50</v>
      </c>
      <c r="M67" s="5" t="s">
        <v>40</v>
      </c>
    </row>
    <row r="68" spans="1:13" x14ac:dyDescent="0.35">
      <c r="A68" s="4">
        <v>266140</v>
      </c>
      <c r="B68" s="2">
        <v>9921511630</v>
      </c>
      <c r="C68" s="2" t="s">
        <v>5</v>
      </c>
      <c r="D68" s="2" t="s">
        <v>18</v>
      </c>
      <c r="E68" s="3">
        <v>44761</v>
      </c>
      <c r="F68" s="2" t="s">
        <v>35</v>
      </c>
      <c r="G68" s="2" t="s">
        <v>27</v>
      </c>
      <c r="H68" s="2" t="s">
        <v>28</v>
      </c>
      <c r="I68" s="2">
        <v>0</v>
      </c>
      <c r="J68" s="2">
        <v>1068.04</v>
      </c>
      <c r="K68" s="2">
        <v>1068.04</v>
      </c>
      <c r="L68" s="2" t="s">
        <v>45</v>
      </c>
      <c r="M68" s="5" t="s">
        <v>39</v>
      </c>
    </row>
    <row r="69" spans="1:13" x14ac:dyDescent="0.35">
      <c r="A69" s="4">
        <v>126927</v>
      </c>
      <c r="B69" s="2">
        <v>8111548844</v>
      </c>
      <c r="C69" s="2" t="s">
        <v>4</v>
      </c>
      <c r="D69" s="2" t="s">
        <v>16</v>
      </c>
      <c r="E69" s="3">
        <v>44564</v>
      </c>
      <c r="F69" s="2" t="s">
        <v>21</v>
      </c>
      <c r="G69" s="2" t="s">
        <v>22</v>
      </c>
      <c r="H69" s="2" t="s">
        <v>24</v>
      </c>
      <c r="I69" s="2">
        <v>135.97999999999999</v>
      </c>
      <c r="J69" s="2">
        <v>1442.73</v>
      </c>
      <c r="K69" s="2">
        <v>1306.75</v>
      </c>
      <c r="L69" s="2" t="s">
        <v>37</v>
      </c>
      <c r="M69" s="5" t="s">
        <v>48</v>
      </c>
    </row>
    <row r="70" spans="1:13" x14ac:dyDescent="0.35">
      <c r="A70" s="4">
        <v>346425</v>
      </c>
      <c r="B70" s="2">
        <v>7245450482</v>
      </c>
      <c r="C70" s="2" t="s">
        <v>4</v>
      </c>
      <c r="D70" s="2" t="s">
        <v>16</v>
      </c>
      <c r="E70" s="3">
        <v>44127</v>
      </c>
      <c r="F70" s="2" t="s">
        <v>34</v>
      </c>
      <c r="G70" s="2" t="s">
        <v>22</v>
      </c>
      <c r="H70" s="2" t="s">
        <v>33</v>
      </c>
      <c r="I70" s="2">
        <v>149.72</v>
      </c>
      <c r="J70" s="2">
        <v>4048.47</v>
      </c>
      <c r="K70" s="2">
        <v>3898.75</v>
      </c>
      <c r="L70" s="2" t="s">
        <v>45</v>
      </c>
      <c r="M70" s="5" t="s">
        <v>39</v>
      </c>
    </row>
    <row r="71" spans="1:13" x14ac:dyDescent="0.35">
      <c r="A71" s="4">
        <v>826229</v>
      </c>
      <c r="B71" s="2">
        <v>3364820508</v>
      </c>
      <c r="C71" s="2" t="s">
        <v>4</v>
      </c>
      <c r="D71" s="2" t="s">
        <v>18</v>
      </c>
      <c r="E71" s="3">
        <v>44272</v>
      </c>
      <c r="F71" s="2" t="s">
        <v>25</v>
      </c>
      <c r="G71" s="2" t="s">
        <v>27</v>
      </c>
      <c r="H71" s="2" t="s">
        <v>28</v>
      </c>
      <c r="I71" s="2">
        <v>0</v>
      </c>
      <c r="J71" s="2">
        <v>1939.81</v>
      </c>
      <c r="K71" s="2">
        <v>1939.81</v>
      </c>
      <c r="L71" s="2" t="s">
        <v>41</v>
      </c>
      <c r="M71" s="5" t="s">
        <v>5</v>
      </c>
    </row>
    <row r="72" spans="1:13" x14ac:dyDescent="0.35">
      <c r="A72" s="4">
        <v>737658</v>
      </c>
      <c r="B72" s="2">
        <v>9955017329</v>
      </c>
      <c r="C72" s="2" t="s">
        <v>3</v>
      </c>
      <c r="D72" s="2" t="s">
        <v>18</v>
      </c>
      <c r="E72" s="3">
        <v>45311</v>
      </c>
      <c r="F72" s="2" t="s">
        <v>21</v>
      </c>
      <c r="G72" s="2" t="s">
        <v>22</v>
      </c>
      <c r="H72" s="2" t="s">
        <v>33</v>
      </c>
      <c r="I72" s="2">
        <v>382.37</v>
      </c>
      <c r="J72" s="2">
        <v>1677.4</v>
      </c>
      <c r="K72" s="2">
        <v>1295.03</v>
      </c>
      <c r="L72" s="2" t="s">
        <v>37</v>
      </c>
      <c r="M72" s="5" t="s">
        <v>51</v>
      </c>
    </row>
    <row r="73" spans="1:13" x14ac:dyDescent="0.35">
      <c r="A73" s="4">
        <v>708761</v>
      </c>
      <c r="B73" s="2">
        <v>1958948752</v>
      </c>
      <c r="C73" s="2" t="s">
        <v>5</v>
      </c>
      <c r="D73" s="2" t="s">
        <v>18</v>
      </c>
      <c r="E73" s="3">
        <v>44925</v>
      </c>
      <c r="F73" s="2" t="s">
        <v>35</v>
      </c>
      <c r="G73" s="2" t="s">
        <v>22</v>
      </c>
      <c r="H73" s="2" t="s">
        <v>24</v>
      </c>
      <c r="I73" s="2">
        <v>186.02</v>
      </c>
      <c r="J73" s="2">
        <v>5770.06</v>
      </c>
      <c r="K73" s="2">
        <v>5584.04</v>
      </c>
      <c r="L73" s="2" t="s">
        <v>37</v>
      </c>
      <c r="M73" s="5" t="s">
        <v>51</v>
      </c>
    </row>
    <row r="74" spans="1:13" x14ac:dyDescent="0.35">
      <c r="A74" s="4">
        <v>252591</v>
      </c>
      <c r="B74" s="2">
        <v>6773951619</v>
      </c>
      <c r="C74" s="2" t="s">
        <v>3</v>
      </c>
      <c r="D74" s="2" t="s">
        <v>16</v>
      </c>
      <c r="E74" s="3">
        <v>45464</v>
      </c>
      <c r="F74" s="2" t="s">
        <v>5</v>
      </c>
      <c r="G74" s="2" t="s">
        <v>27</v>
      </c>
      <c r="H74" s="2" t="s">
        <v>28</v>
      </c>
      <c r="I74" s="2">
        <v>0</v>
      </c>
      <c r="J74" s="2">
        <v>728.49</v>
      </c>
      <c r="K74" s="2">
        <v>728.49</v>
      </c>
      <c r="L74" s="2" t="s">
        <v>41</v>
      </c>
      <c r="M74" s="5" t="s">
        <v>51</v>
      </c>
    </row>
    <row r="75" spans="1:13" x14ac:dyDescent="0.35">
      <c r="A75" s="4">
        <v>508396</v>
      </c>
      <c r="B75" s="2">
        <v>5157819119</v>
      </c>
      <c r="C75" s="2" t="s">
        <v>4</v>
      </c>
      <c r="D75" s="2" t="s">
        <v>18</v>
      </c>
      <c r="E75" s="3">
        <v>44433</v>
      </c>
      <c r="F75" s="2" t="s">
        <v>25</v>
      </c>
      <c r="G75" s="2" t="s">
        <v>27</v>
      </c>
      <c r="H75" s="2" t="s">
        <v>28</v>
      </c>
      <c r="I75" s="2">
        <v>0</v>
      </c>
      <c r="J75" s="2">
        <v>773.65</v>
      </c>
      <c r="K75" s="2">
        <v>773.65</v>
      </c>
      <c r="L75" s="2" t="s">
        <v>41</v>
      </c>
      <c r="M75" s="5" t="s">
        <v>51</v>
      </c>
    </row>
    <row r="76" spans="1:13" x14ac:dyDescent="0.35">
      <c r="A76" s="4">
        <v>999695</v>
      </c>
      <c r="B76" s="2">
        <v>1626674261</v>
      </c>
      <c r="C76" s="2" t="s">
        <v>4</v>
      </c>
      <c r="D76" s="2" t="s">
        <v>18</v>
      </c>
      <c r="E76" s="3">
        <v>44416</v>
      </c>
      <c r="F76" s="2" t="s">
        <v>21</v>
      </c>
      <c r="G76" s="2" t="s">
        <v>27</v>
      </c>
      <c r="H76" s="2" t="s">
        <v>28</v>
      </c>
      <c r="I76" s="2">
        <v>0</v>
      </c>
      <c r="J76" s="2">
        <v>619.44000000000005</v>
      </c>
      <c r="K76" s="2">
        <v>619.44000000000005</v>
      </c>
      <c r="L76" s="2" t="s">
        <v>41</v>
      </c>
      <c r="M76" s="5" t="s">
        <v>51</v>
      </c>
    </row>
    <row r="77" spans="1:13" x14ac:dyDescent="0.35">
      <c r="A77" s="4">
        <v>622873</v>
      </c>
      <c r="B77" s="2">
        <v>7204650545</v>
      </c>
      <c r="C77" s="2" t="s">
        <v>3</v>
      </c>
      <c r="D77" s="2" t="s">
        <v>19</v>
      </c>
      <c r="E77" s="3">
        <v>44237</v>
      </c>
      <c r="F77" s="2" t="s">
        <v>34</v>
      </c>
      <c r="G77" s="2" t="s">
        <v>27</v>
      </c>
      <c r="H77" s="2" t="s">
        <v>28</v>
      </c>
      <c r="I77" s="2">
        <v>0</v>
      </c>
      <c r="J77" s="2">
        <v>2825.35</v>
      </c>
      <c r="K77" s="2">
        <v>2825.35</v>
      </c>
      <c r="L77" s="2" t="s">
        <v>41</v>
      </c>
      <c r="M77" s="5" t="s">
        <v>40</v>
      </c>
    </row>
    <row r="78" spans="1:13" x14ac:dyDescent="0.35">
      <c r="A78" s="4">
        <v>833087</v>
      </c>
      <c r="B78" s="2">
        <v>3472651123</v>
      </c>
      <c r="C78" s="2" t="s">
        <v>3</v>
      </c>
      <c r="D78" s="2" t="s">
        <v>16</v>
      </c>
      <c r="E78" s="3">
        <v>44718</v>
      </c>
      <c r="F78" s="2" t="s">
        <v>35</v>
      </c>
      <c r="G78" s="2" t="s">
        <v>22</v>
      </c>
      <c r="H78" s="2" t="s">
        <v>29</v>
      </c>
      <c r="I78" s="2">
        <v>143.5</v>
      </c>
      <c r="J78" s="2">
        <v>1214.54</v>
      </c>
      <c r="K78" s="2">
        <v>1071.04</v>
      </c>
      <c r="L78" s="2" t="s">
        <v>41</v>
      </c>
      <c r="M78" s="5" t="s">
        <v>51</v>
      </c>
    </row>
    <row r="79" spans="1:13" x14ac:dyDescent="0.35">
      <c r="A79" s="4">
        <v>232315</v>
      </c>
      <c r="B79" s="2">
        <v>8792450228</v>
      </c>
      <c r="C79" s="2" t="s">
        <v>3</v>
      </c>
      <c r="D79" s="2" t="s">
        <v>20</v>
      </c>
      <c r="E79" s="3">
        <v>45297</v>
      </c>
      <c r="F79" s="2" t="s">
        <v>21</v>
      </c>
      <c r="G79" s="2" t="s">
        <v>27</v>
      </c>
      <c r="H79" s="2" t="s">
        <v>28</v>
      </c>
      <c r="I79" s="2">
        <v>0</v>
      </c>
      <c r="J79" s="2">
        <v>1757.94</v>
      </c>
      <c r="K79" s="2">
        <v>1757.94</v>
      </c>
      <c r="L79" s="2" t="s">
        <v>37</v>
      </c>
      <c r="M79" s="5" t="s">
        <v>39</v>
      </c>
    </row>
    <row r="80" spans="1:13" x14ac:dyDescent="0.35">
      <c r="A80" s="4">
        <v>355652</v>
      </c>
      <c r="B80" s="2">
        <v>7752397545</v>
      </c>
      <c r="C80" s="2" t="s">
        <v>3</v>
      </c>
      <c r="D80" s="2" t="s">
        <v>18</v>
      </c>
      <c r="E80" s="3">
        <v>43792</v>
      </c>
      <c r="F80" s="2" t="s">
        <v>21</v>
      </c>
      <c r="G80" s="2" t="s">
        <v>27</v>
      </c>
      <c r="H80" s="2" t="s">
        <v>28</v>
      </c>
      <c r="I80" s="2">
        <v>0</v>
      </c>
      <c r="J80" s="2">
        <v>5162.26</v>
      </c>
      <c r="K80" s="2">
        <v>5162.26</v>
      </c>
      <c r="L80" s="2" t="s">
        <v>43</v>
      </c>
      <c r="M80" s="5" t="s">
        <v>40</v>
      </c>
    </row>
    <row r="81" spans="1:13" x14ac:dyDescent="0.35">
      <c r="A81" s="4">
        <v>361977</v>
      </c>
      <c r="B81" s="2">
        <v>2195106251</v>
      </c>
      <c r="C81" s="2" t="s">
        <v>4</v>
      </c>
      <c r="D81" s="2" t="s">
        <v>16</v>
      </c>
      <c r="E81" s="3">
        <v>45634</v>
      </c>
      <c r="F81" s="2" t="s">
        <v>36</v>
      </c>
      <c r="G81" s="2" t="s">
        <v>27</v>
      </c>
      <c r="H81" s="2" t="s">
        <v>28</v>
      </c>
      <c r="I81" s="2">
        <v>0</v>
      </c>
      <c r="J81" s="2">
        <v>5198.95</v>
      </c>
      <c r="K81" s="2">
        <v>5198.95</v>
      </c>
      <c r="L81" s="2" t="s">
        <v>41</v>
      </c>
      <c r="M81" s="5" t="s">
        <v>49</v>
      </c>
    </row>
    <row r="82" spans="1:13" x14ac:dyDescent="0.35">
      <c r="A82" s="4">
        <v>335421</v>
      </c>
      <c r="B82" s="2">
        <v>9438531871</v>
      </c>
      <c r="C82" s="2" t="s">
        <v>3</v>
      </c>
      <c r="D82" s="2" t="s">
        <v>19</v>
      </c>
      <c r="E82" s="3">
        <v>45487</v>
      </c>
      <c r="F82" s="2" t="s">
        <v>34</v>
      </c>
      <c r="G82" s="2" t="s">
        <v>27</v>
      </c>
      <c r="H82" s="2" t="s">
        <v>28</v>
      </c>
      <c r="I82" s="2">
        <v>0</v>
      </c>
      <c r="J82" s="2">
        <v>847.26</v>
      </c>
      <c r="K82" s="2">
        <v>847.26</v>
      </c>
      <c r="L82" s="2" t="s">
        <v>41</v>
      </c>
      <c r="M82" s="5" t="s">
        <v>52</v>
      </c>
    </row>
    <row r="83" spans="1:13" x14ac:dyDescent="0.35">
      <c r="A83" s="4">
        <v>770699</v>
      </c>
      <c r="B83" s="2">
        <v>3738611918</v>
      </c>
      <c r="C83" s="2" t="s">
        <v>5</v>
      </c>
      <c r="D83" s="2" t="s">
        <v>16</v>
      </c>
      <c r="E83" s="3">
        <v>44596</v>
      </c>
      <c r="F83" s="2" t="s">
        <v>36</v>
      </c>
      <c r="G83" s="2" t="s">
        <v>22</v>
      </c>
      <c r="H83" s="2" t="s">
        <v>29</v>
      </c>
      <c r="I83" s="2">
        <v>380.54</v>
      </c>
      <c r="J83" s="2">
        <v>3539.71</v>
      </c>
      <c r="K83" s="2">
        <v>3159.17</v>
      </c>
      <c r="L83" s="2" t="s">
        <v>41</v>
      </c>
      <c r="M83" s="5" t="s">
        <v>51</v>
      </c>
    </row>
    <row r="84" spans="1:13" x14ac:dyDescent="0.35">
      <c r="A84" s="4">
        <v>823811</v>
      </c>
      <c r="B84" s="2">
        <v>7628087488</v>
      </c>
      <c r="C84" s="2" t="s">
        <v>3</v>
      </c>
      <c r="D84" s="2" t="s">
        <v>16</v>
      </c>
      <c r="E84" s="3">
        <v>43566</v>
      </c>
      <c r="F84" s="2" t="s">
        <v>5</v>
      </c>
      <c r="G84" s="2" t="s">
        <v>27</v>
      </c>
      <c r="H84" s="2" t="s">
        <v>28</v>
      </c>
      <c r="I84" s="2">
        <v>0</v>
      </c>
      <c r="J84" s="2">
        <v>3828.24</v>
      </c>
      <c r="K84" s="2">
        <v>3828.24</v>
      </c>
      <c r="L84" s="2" t="s">
        <v>50</v>
      </c>
      <c r="M84" s="5" t="s">
        <v>56</v>
      </c>
    </row>
    <row r="85" spans="1:13" x14ac:dyDescent="0.35">
      <c r="A85" s="4">
        <v>499917</v>
      </c>
      <c r="B85" s="2">
        <v>2620328765</v>
      </c>
      <c r="C85" s="2" t="s">
        <v>4</v>
      </c>
      <c r="D85" s="2" t="s">
        <v>18</v>
      </c>
      <c r="E85" s="3">
        <v>43878</v>
      </c>
      <c r="F85" s="2" t="s">
        <v>26</v>
      </c>
      <c r="G85" s="2" t="s">
        <v>27</v>
      </c>
      <c r="H85" s="2" t="s">
        <v>28</v>
      </c>
      <c r="I85" s="2">
        <v>0</v>
      </c>
      <c r="J85" s="2">
        <v>4328.55</v>
      </c>
      <c r="K85" s="2">
        <v>4328.55</v>
      </c>
      <c r="L85" s="2" t="s">
        <v>42</v>
      </c>
      <c r="M85" s="5" t="s">
        <v>49</v>
      </c>
    </row>
    <row r="86" spans="1:13" x14ac:dyDescent="0.35">
      <c r="A86" s="4">
        <v>442699</v>
      </c>
      <c r="B86" s="2">
        <v>6963593440</v>
      </c>
      <c r="C86" s="2" t="s">
        <v>4</v>
      </c>
      <c r="D86" s="2" t="s">
        <v>19</v>
      </c>
      <c r="E86" s="3">
        <v>45033</v>
      </c>
      <c r="F86" s="2" t="s">
        <v>25</v>
      </c>
      <c r="G86" s="2" t="s">
        <v>27</v>
      </c>
      <c r="H86" s="2" t="s">
        <v>28</v>
      </c>
      <c r="I86" s="2">
        <v>0</v>
      </c>
      <c r="J86" s="2">
        <v>1857.43</v>
      </c>
      <c r="K86" s="2">
        <v>1857.43</v>
      </c>
      <c r="L86" s="2" t="s">
        <v>45</v>
      </c>
      <c r="M86" s="5" t="s">
        <v>40</v>
      </c>
    </row>
    <row r="87" spans="1:13" x14ac:dyDescent="0.35">
      <c r="A87" s="4">
        <v>443818</v>
      </c>
      <c r="B87" s="2">
        <v>2974386802</v>
      </c>
      <c r="C87" s="2" t="s">
        <v>5</v>
      </c>
      <c r="D87" s="2" t="s">
        <v>18</v>
      </c>
      <c r="E87" s="3">
        <v>44453</v>
      </c>
      <c r="F87" s="2" t="s">
        <v>35</v>
      </c>
      <c r="G87" s="2" t="s">
        <v>27</v>
      </c>
      <c r="H87" s="2" t="s">
        <v>28</v>
      </c>
      <c r="I87" s="2">
        <v>0</v>
      </c>
      <c r="J87" s="2">
        <v>5018.2700000000004</v>
      </c>
      <c r="K87" s="2">
        <v>5018.2700000000004</v>
      </c>
      <c r="L87" s="2" t="s">
        <v>41</v>
      </c>
      <c r="M87" s="5" t="s">
        <v>40</v>
      </c>
    </row>
    <row r="88" spans="1:13" x14ac:dyDescent="0.35">
      <c r="A88" s="4">
        <v>148050</v>
      </c>
      <c r="B88" s="2">
        <v>6469075740</v>
      </c>
      <c r="C88" s="2" t="s">
        <v>4</v>
      </c>
      <c r="D88" s="2" t="s">
        <v>18</v>
      </c>
      <c r="E88" s="3">
        <v>45107</v>
      </c>
      <c r="F88" s="2" t="s">
        <v>35</v>
      </c>
      <c r="G88" s="2" t="s">
        <v>27</v>
      </c>
      <c r="H88" s="2" t="s">
        <v>28</v>
      </c>
      <c r="I88" s="2">
        <v>0</v>
      </c>
      <c r="J88" s="2">
        <v>3437.89</v>
      </c>
      <c r="K88" s="2">
        <v>3437.89</v>
      </c>
      <c r="L88" s="2" t="s">
        <v>41</v>
      </c>
      <c r="M88" s="5" t="s">
        <v>40</v>
      </c>
    </row>
    <row r="89" spans="1:13" x14ac:dyDescent="0.35">
      <c r="A89" s="4">
        <v>133782</v>
      </c>
      <c r="B89" s="2">
        <v>4838325927</v>
      </c>
      <c r="C89" s="2" t="s">
        <v>3</v>
      </c>
      <c r="D89" s="2" t="s">
        <v>16</v>
      </c>
      <c r="E89" s="3">
        <v>43896</v>
      </c>
      <c r="F89" s="2" t="s">
        <v>35</v>
      </c>
      <c r="G89" s="2" t="s">
        <v>22</v>
      </c>
      <c r="H89" s="2" t="s">
        <v>33</v>
      </c>
      <c r="I89" s="2">
        <v>333.51</v>
      </c>
      <c r="J89" s="2">
        <v>3805.2</v>
      </c>
      <c r="K89" s="2">
        <v>3471.69</v>
      </c>
      <c r="L89" s="2" t="s">
        <v>42</v>
      </c>
      <c r="M89" s="5" t="s">
        <v>38</v>
      </c>
    </row>
    <row r="90" spans="1:13" x14ac:dyDescent="0.35">
      <c r="A90" s="4">
        <v>889188</v>
      </c>
      <c r="B90" s="2">
        <v>7008973602</v>
      </c>
      <c r="C90" s="2" t="s">
        <v>3</v>
      </c>
      <c r="D90" s="2" t="s">
        <v>18</v>
      </c>
      <c r="E90" s="3">
        <v>44086</v>
      </c>
      <c r="F90" s="2" t="s">
        <v>21</v>
      </c>
      <c r="G90" s="2" t="s">
        <v>22</v>
      </c>
      <c r="H90" s="2" t="s">
        <v>24</v>
      </c>
      <c r="I90" s="2">
        <v>102.86</v>
      </c>
      <c r="J90" s="2">
        <v>6153.26</v>
      </c>
      <c r="K90" s="2">
        <v>6050.4</v>
      </c>
      <c r="L90" s="2" t="s">
        <v>41</v>
      </c>
      <c r="M90" s="5" t="s">
        <v>48</v>
      </c>
    </row>
    <row r="91" spans="1:13" x14ac:dyDescent="0.35">
      <c r="A91" s="4">
        <v>206180</v>
      </c>
      <c r="B91" s="2">
        <v>7202617230</v>
      </c>
      <c r="C91" s="2" t="s">
        <v>5</v>
      </c>
      <c r="D91" s="2" t="s">
        <v>16</v>
      </c>
      <c r="E91" s="3">
        <v>43958</v>
      </c>
      <c r="F91" s="2" t="s">
        <v>21</v>
      </c>
      <c r="G91" s="2" t="s">
        <v>27</v>
      </c>
      <c r="H91" s="2" t="s">
        <v>28</v>
      </c>
      <c r="I91" s="2">
        <v>0</v>
      </c>
      <c r="J91" s="2">
        <v>1258.83</v>
      </c>
      <c r="K91" s="2">
        <v>1258.83</v>
      </c>
      <c r="L91" s="2" t="s">
        <v>45</v>
      </c>
      <c r="M91" s="5" t="s">
        <v>39</v>
      </c>
    </row>
    <row r="92" spans="1:13" x14ac:dyDescent="0.35">
      <c r="A92" s="4">
        <v>528334</v>
      </c>
      <c r="B92" s="2">
        <v>4979044468</v>
      </c>
      <c r="C92" s="2" t="s">
        <v>3</v>
      </c>
      <c r="D92" s="2" t="s">
        <v>16</v>
      </c>
      <c r="E92" s="3">
        <v>45203</v>
      </c>
      <c r="F92" s="2" t="s">
        <v>21</v>
      </c>
      <c r="G92" s="2" t="s">
        <v>22</v>
      </c>
      <c r="H92" s="2" t="s">
        <v>33</v>
      </c>
      <c r="I92" s="2">
        <v>405.5</v>
      </c>
      <c r="J92" s="2">
        <v>2594.96</v>
      </c>
      <c r="K92" s="2">
        <v>2189.46</v>
      </c>
      <c r="L92" s="2" t="s">
        <v>41</v>
      </c>
      <c r="M92" s="5" t="s">
        <v>51</v>
      </c>
    </row>
    <row r="93" spans="1:13" x14ac:dyDescent="0.35">
      <c r="A93" s="4">
        <v>334882</v>
      </c>
      <c r="B93" s="2">
        <v>5591801596</v>
      </c>
      <c r="C93" s="2" t="s">
        <v>3</v>
      </c>
      <c r="D93" s="2" t="s">
        <v>19</v>
      </c>
      <c r="E93" s="3">
        <v>45553</v>
      </c>
      <c r="F93" s="2" t="s">
        <v>21</v>
      </c>
      <c r="G93" s="2" t="s">
        <v>27</v>
      </c>
      <c r="H93" s="2" t="s">
        <v>28</v>
      </c>
      <c r="I93" s="2">
        <v>0</v>
      </c>
      <c r="J93" s="2">
        <v>5704.79</v>
      </c>
      <c r="K93" s="2">
        <v>5704.79</v>
      </c>
      <c r="L93" s="2" t="s">
        <v>45</v>
      </c>
      <c r="M93" s="5" t="s">
        <v>49</v>
      </c>
    </row>
    <row r="94" spans="1:13" x14ac:dyDescent="0.35">
      <c r="A94" s="4">
        <v>718541</v>
      </c>
      <c r="B94" s="2">
        <v>1251625882</v>
      </c>
      <c r="C94" s="2" t="s">
        <v>4</v>
      </c>
      <c r="D94" s="2" t="s">
        <v>16</v>
      </c>
      <c r="E94" s="3">
        <v>44661</v>
      </c>
      <c r="F94" s="2" t="s">
        <v>25</v>
      </c>
      <c r="G94" s="2" t="s">
        <v>27</v>
      </c>
      <c r="H94" s="2" t="s">
        <v>28</v>
      </c>
      <c r="I94" s="2">
        <v>0</v>
      </c>
      <c r="J94" s="2">
        <v>5524.98</v>
      </c>
      <c r="K94" s="2">
        <v>5524.98</v>
      </c>
      <c r="L94" s="2" t="s">
        <v>41</v>
      </c>
      <c r="M94" s="5" t="s">
        <v>39</v>
      </c>
    </row>
    <row r="95" spans="1:13" x14ac:dyDescent="0.35">
      <c r="A95" s="4">
        <v>159830</v>
      </c>
      <c r="B95" s="2">
        <v>9677962911</v>
      </c>
      <c r="C95" s="2" t="s">
        <v>4</v>
      </c>
      <c r="D95" s="2" t="s">
        <v>20</v>
      </c>
      <c r="E95" s="3">
        <v>44714</v>
      </c>
      <c r="F95" s="2" t="s">
        <v>21</v>
      </c>
      <c r="G95" s="2" t="s">
        <v>27</v>
      </c>
      <c r="H95" s="2" t="s">
        <v>28</v>
      </c>
      <c r="I95" s="2">
        <v>0</v>
      </c>
      <c r="J95" s="2">
        <v>1976.97</v>
      </c>
      <c r="K95" s="2">
        <v>1976.97</v>
      </c>
      <c r="L95" s="2" t="s">
        <v>47</v>
      </c>
      <c r="M95" s="5" t="s">
        <v>44</v>
      </c>
    </row>
    <row r="96" spans="1:13" x14ac:dyDescent="0.35">
      <c r="A96" s="4">
        <v>501557</v>
      </c>
      <c r="B96" s="2">
        <v>6130129180</v>
      </c>
      <c r="C96" s="2" t="s">
        <v>4</v>
      </c>
      <c r="D96" s="2" t="s">
        <v>16</v>
      </c>
      <c r="E96" s="3">
        <v>45140</v>
      </c>
      <c r="F96" s="2" t="s">
        <v>21</v>
      </c>
      <c r="G96" s="2" t="s">
        <v>27</v>
      </c>
      <c r="H96" s="2" t="s">
        <v>28</v>
      </c>
      <c r="I96" s="2">
        <v>0</v>
      </c>
      <c r="J96" s="2">
        <v>646.27</v>
      </c>
      <c r="K96" s="2">
        <v>646.27</v>
      </c>
      <c r="L96" s="2" t="s">
        <v>41</v>
      </c>
      <c r="M96" s="5" t="s">
        <v>48</v>
      </c>
    </row>
    <row r="97" spans="1:13" x14ac:dyDescent="0.35">
      <c r="A97" s="4">
        <v>451800</v>
      </c>
      <c r="B97" s="2">
        <v>7003375034</v>
      </c>
      <c r="C97" s="2" t="s">
        <v>3</v>
      </c>
      <c r="D97" s="2" t="s">
        <v>17</v>
      </c>
      <c r="E97" s="3">
        <v>44621</v>
      </c>
      <c r="F97" s="2" t="s">
        <v>21</v>
      </c>
      <c r="G97" s="2" t="s">
        <v>27</v>
      </c>
      <c r="H97" s="2" t="s">
        <v>28</v>
      </c>
      <c r="I97" s="2">
        <v>0</v>
      </c>
      <c r="J97" s="2">
        <v>1854.74</v>
      </c>
      <c r="K97" s="2">
        <v>1854.74</v>
      </c>
      <c r="L97" s="2" t="s">
        <v>43</v>
      </c>
      <c r="M97" s="5" t="s">
        <v>51</v>
      </c>
    </row>
    <row r="98" spans="1:13" x14ac:dyDescent="0.35">
      <c r="A98" s="4">
        <v>376347</v>
      </c>
      <c r="B98" s="2">
        <v>6589015100</v>
      </c>
      <c r="C98" s="2" t="s">
        <v>4</v>
      </c>
      <c r="D98" s="2" t="s">
        <v>19</v>
      </c>
      <c r="E98" s="3">
        <v>45277</v>
      </c>
      <c r="F98" s="2" t="s">
        <v>32</v>
      </c>
      <c r="G98" s="2" t="s">
        <v>27</v>
      </c>
      <c r="H98" s="2" t="s">
        <v>28</v>
      </c>
      <c r="I98" s="2">
        <v>0</v>
      </c>
      <c r="J98" s="2">
        <v>5359.17</v>
      </c>
      <c r="K98" s="2">
        <v>5359.17</v>
      </c>
      <c r="L98" s="2" t="s">
        <v>43</v>
      </c>
      <c r="M98" s="5" t="s">
        <v>40</v>
      </c>
    </row>
    <row r="99" spans="1:13" x14ac:dyDescent="0.35">
      <c r="A99" s="4">
        <v>313181</v>
      </c>
      <c r="B99" s="2">
        <v>6069564813</v>
      </c>
      <c r="C99" s="2" t="s">
        <v>5</v>
      </c>
      <c r="D99" s="2" t="s">
        <v>16</v>
      </c>
      <c r="E99" s="3">
        <v>43755</v>
      </c>
      <c r="F99" s="2" t="s">
        <v>21</v>
      </c>
      <c r="G99" s="2" t="s">
        <v>22</v>
      </c>
      <c r="H99" s="2" t="s">
        <v>31</v>
      </c>
      <c r="I99" s="2">
        <v>245.29</v>
      </c>
      <c r="J99" s="2">
        <v>690.2</v>
      </c>
      <c r="K99" s="2">
        <v>444.91</v>
      </c>
      <c r="L99" s="2" t="s">
        <v>37</v>
      </c>
      <c r="M99" s="5" t="s">
        <v>52</v>
      </c>
    </row>
    <row r="100" spans="1:13" x14ac:dyDescent="0.35">
      <c r="A100" s="4">
        <v>362865</v>
      </c>
      <c r="B100" s="2">
        <v>7577758569</v>
      </c>
      <c r="C100" s="2" t="s">
        <v>4</v>
      </c>
      <c r="D100" s="2" t="s">
        <v>20</v>
      </c>
      <c r="E100" s="3">
        <v>44299</v>
      </c>
      <c r="F100" s="2" t="s">
        <v>26</v>
      </c>
      <c r="G100" s="2" t="s">
        <v>27</v>
      </c>
      <c r="H100" s="2" t="s">
        <v>28</v>
      </c>
      <c r="I100" s="2">
        <v>0</v>
      </c>
      <c r="J100" s="2">
        <v>2077.41</v>
      </c>
      <c r="K100" s="2">
        <v>2077.41</v>
      </c>
      <c r="L100" s="2" t="s">
        <v>42</v>
      </c>
      <c r="M100" s="5" t="s">
        <v>54</v>
      </c>
    </row>
    <row r="101" spans="1:13" x14ac:dyDescent="0.35">
      <c r="A101" s="4">
        <v>204768</v>
      </c>
      <c r="B101" s="2">
        <v>2076027794</v>
      </c>
      <c r="C101" s="2" t="s">
        <v>3</v>
      </c>
      <c r="D101" s="2" t="s">
        <v>19</v>
      </c>
      <c r="E101" s="3">
        <v>44476</v>
      </c>
      <c r="F101" s="2" t="s">
        <v>35</v>
      </c>
      <c r="G101" s="2" t="s">
        <v>22</v>
      </c>
      <c r="H101" s="2" t="s">
        <v>23</v>
      </c>
      <c r="I101" s="2">
        <v>222.14</v>
      </c>
      <c r="J101" s="2">
        <v>3428.57</v>
      </c>
      <c r="K101" s="2">
        <v>3206.43</v>
      </c>
      <c r="L101" s="2" t="s">
        <v>41</v>
      </c>
      <c r="M101" s="5" t="s">
        <v>51</v>
      </c>
    </row>
    <row r="102" spans="1:13" x14ac:dyDescent="0.35">
      <c r="A102" s="4">
        <v>327575</v>
      </c>
      <c r="B102" s="2">
        <v>5432018576</v>
      </c>
      <c r="C102" s="2" t="s">
        <v>5</v>
      </c>
      <c r="D102" s="2" t="s">
        <v>18</v>
      </c>
      <c r="E102" s="3">
        <v>43976</v>
      </c>
      <c r="F102" s="2" t="s">
        <v>21</v>
      </c>
      <c r="G102" s="2" t="s">
        <v>22</v>
      </c>
      <c r="H102" s="2" t="s">
        <v>29</v>
      </c>
      <c r="I102" s="2">
        <v>259.36</v>
      </c>
      <c r="J102" s="2">
        <v>1622.26</v>
      </c>
      <c r="K102" s="2">
        <v>1362.9</v>
      </c>
      <c r="L102" s="2" t="s">
        <v>41</v>
      </c>
      <c r="M102" s="5" t="s">
        <v>40</v>
      </c>
    </row>
    <row r="103" spans="1:13" x14ac:dyDescent="0.35">
      <c r="A103" s="4">
        <v>119469</v>
      </c>
      <c r="B103" s="2">
        <v>5836214931</v>
      </c>
      <c r="C103" s="2" t="s">
        <v>3</v>
      </c>
      <c r="D103" s="2" t="s">
        <v>16</v>
      </c>
      <c r="E103" s="3">
        <v>44071</v>
      </c>
      <c r="F103" s="2" t="s">
        <v>25</v>
      </c>
      <c r="G103" s="2" t="s">
        <v>27</v>
      </c>
      <c r="H103" s="2" t="s">
        <v>28</v>
      </c>
      <c r="I103" s="2">
        <v>0</v>
      </c>
      <c r="J103" s="2">
        <v>3672.92</v>
      </c>
      <c r="K103" s="2">
        <v>3672.92</v>
      </c>
      <c r="L103" s="2" t="s">
        <v>37</v>
      </c>
      <c r="M103" s="5" t="s">
        <v>49</v>
      </c>
    </row>
    <row r="104" spans="1:13" x14ac:dyDescent="0.35">
      <c r="A104" s="4">
        <v>855553</v>
      </c>
      <c r="B104" s="2">
        <v>8387972034</v>
      </c>
      <c r="C104" s="2" t="s">
        <v>5</v>
      </c>
      <c r="D104" s="2" t="s">
        <v>16</v>
      </c>
      <c r="E104" s="3">
        <v>44790</v>
      </c>
      <c r="F104" s="2" t="s">
        <v>21</v>
      </c>
      <c r="G104" s="2" t="s">
        <v>27</v>
      </c>
      <c r="H104" s="2" t="s">
        <v>28</v>
      </c>
      <c r="I104" s="2">
        <v>0</v>
      </c>
      <c r="J104" s="2">
        <v>3378.52</v>
      </c>
      <c r="K104" s="2">
        <v>3378.52</v>
      </c>
      <c r="L104" s="2" t="s">
        <v>37</v>
      </c>
      <c r="M104" s="5" t="s">
        <v>40</v>
      </c>
    </row>
    <row r="105" spans="1:13" x14ac:dyDescent="0.35">
      <c r="A105" s="4">
        <v>626704</v>
      </c>
      <c r="B105" s="2">
        <v>9044927065</v>
      </c>
      <c r="C105" s="2" t="s">
        <v>3</v>
      </c>
      <c r="D105" s="2" t="s">
        <v>20</v>
      </c>
      <c r="E105" s="3">
        <v>44063</v>
      </c>
      <c r="F105" s="2" t="s">
        <v>32</v>
      </c>
      <c r="G105" s="2" t="s">
        <v>22</v>
      </c>
      <c r="H105" s="2" t="s">
        <v>29</v>
      </c>
      <c r="I105" s="2">
        <v>385.33</v>
      </c>
      <c r="J105" s="2">
        <v>4398.7299999999996</v>
      </c>
      <c r="K105" s="2">
        <v>4013.4</v>
      </c>
      <c r="L105" s="2" t="s">
        <v>37</v>
      </c>
      <c r="M105" s="5" t="s">
        <v>48</v>
      </c>
    </row>
    <row r="106" spans="1:13" x14ac:dyDescent="0.35">
      <c r="A106" s="4">
        <v>773003</v>
      </c>
      <c r="B106" s="2">
        <v>6746823325</v>
      </c>
      <c r="C106" s="2" t="s">
        <v>5</v>
      </c>
      <c r="D106" s="2" t="s">
        <v>18</v>
      </c>
      <c r="E106" s="3">
        <v>45152</v>
      </c>
      <c r="F106" s="2" t="s">
        <v>21</v>
      </c>
      <c r="G106" s="2" t="s">
        <v>27</v>
      </c>
      <c r="H106" s="2" t="s">
        <v>28</v>
      </c>
      <c r="I106" s="2">
        <v>0</v>
      </c>
      <c r="J106" s="2">
        <v>4124.59</v>
      </c>
      <c r="K106" s="2">
        <v>4124.59</v>
      </c>
      <c r="L106" s="2" t="s">
        <v>50</v>
      </c>
      <c r="M106" s="5" t="s">
        <v>51</v>
      </c>
    </row>
    <row r="107" spans="1:13" x14ac:dyDescent="0.35">
      <c r="A107" s="4">
        <v>930924</v>
      </c>
      <c r="B107" s="2">
        <v>4986444967</v>
      </c>
      <c r="C107" s="2" t="s">
        <v>4</v>
      </c>
      <c r="D107" s="2" t="s">
        <v>18</v>
      </c>
      <c r="E107" s="3">
        <v>44921</v>
      </c>
      <c r="F107" s="2" t="s">
        <v>30</v>
      </c>
      <c r="G107" s="2" t="s">
        <v>27</v>
      </c>
      <c r="H107" s="2" t="s">
        <v>28</v>
      </c>
      <c r="I107" s="2">
        <v>0</v>
      </c>
      <c r="J107" s="2">
        <v>5960.12</v>
      </c>
      <c r="K107" s="2">
        <v>5960.12</v>
      </c>
      <c r="L107" s="2" t="s">
        <v>41</v>
      </c>
      <c r="M107" s="5" t="s">
        <v>39</v>
      </c>
    </row>
    <row r="108" spans="1:13" x14ac:dyDescent="0.35">
      <c r="A108" s="4">
        <v>245117</v>
      </c>
      <c r="B108" s="2">
        <v>8769564683</v>
      </c>
      <c r="C108" s="2" t="s">
        <v>5</v>
      </c>
      <c r="D108" s="2" t="s">
        <v>18</v>
      </c>
      <c r="E108" s="3">
        <v>43566</v>
      </c>
      <c r="F108" s="2" t="s">
        <v>25</v>
      </c>
      <c r="G108" s="2" t="s">
        <v>27</v>
      </c>
      <c r="H108" s="2" t="s">
        <v>28</v>
      </c>
      <c r="I108" s="2">
        <v>0</v>
      </c>
      <c r="J108" s="2">
        <v>3542.02</v>
      </c>
      <c r="K108" s="2">
        <v>3542.02</v>
      </c>
      <c r="L108" s="2" t="s">
        <v>41</v>
      </c>
      <c r="M108" s="5" t="s">
        <v>54</v>
      </c>
    </row>
    <row r="109" spans="1:13" x14ac:dyDescent="0.35">
      <c r="A109" s="4">
        <v>320914</v>
      </c>
      <c r="B109" s="2">
        <v>5991402847</v>
      </c>
      <c r="C109" s="2" t="s">
        <v>5</v>
      </c>
      <c r="D109" s="2" t="s">
        <v>16</v>
      </c>
      <c r="E109" s="3">
        <v>44502</v>
      </c>
      <c r="F109" s="2" t="s">
        <v>21</v>
      </c>
      <c r="G109" s="2" t="s">
        <v>27</v>
      </c>
      <c r="H109" s="2" t="s">
        <v>28</v>
      </c>
      <c r="I109" s="2">
        <v>0</v>
      </c>
      <c r="J109" s="2">
        <v>3787.25</v>
      </c>
      <c r="K109" s="2">
        <v>3787.25</v>
      </c>
      <c r="L109" s="2" t="s">
        <v>50</v>
      </c>
      <c r="M109" s="5" t="s">
        <v>54</v>
      </c>
    </row>
    <row r="110" spans="1:13" x14ac:dyDescent="0.35">
      <c r="A110" s="4">
        <v>547287</v>
      </c>
      <c r="B110" s="2">
        <v>6879477858</v>
      </c>
      <c r="C110" s="2" t="s">
        <v>5</v>
      </c>
      <c r="D110" s="2" t="s">
        <v>19</v>
      </c>
      <c r="E110" s="3">
        <v>43918</v>
      </c>
      <c r="F110" s="2" t="s">
        <v>21</v>
      </c>
      <c r="G110" s="2" t="s">
        <v>27</v>
      </c>
      <c r="H110" s="2" t="s">
        <v>28</v>
      </c>
      <c r="I110" s="2">
        <v>0</v>
      </c>
      <c r="J110" s="2">
        <v>4829.16</v>
      </c>
      <c r="K110" s="2">
        <v>4829.16</v>
      </c>
      <c r="L110" s="2" t="s">
        <v>55</v>
      </c>
      <c r="M110" s="5" t="s">
        <v>44</v>
      </c>
    </row>
    <row r="111" spans="1:13" x14ac:dyDescent="0.35">
      <c r="A111" s="4">
        <v>895810</v>
      </c>
      <c r="B111" s="2">
        <v>4276582879</v>
      </c>
      <c r="C111" s="2" t="s">
        <v>4</v>
      </c>
      <c r="D111" s="2" t="s">
        <v>16</v>
      </c>
      <c r="E111" s="3">
        <v>44416</v>
      </c>
      <c r="F111" s="2" t="s">
        <v>34</v>
      </c>
      <c r="G111" s="2" t="s">
        <v>27</v>
      </c>
      <c r="H111" s="2" t="s">
        <v>28</v>
      </c>
      <c r="I111" s="2">
        <v>0</v>
      </c>
      <c r="J111" s="2">
        <v>3283.63</v>
      </c>
      <c r="K111" s="2">
        <v>3283.63</v>
      </c>
      <c r="L111" s="2" t="s">
        <v>37</v>
      </c>
      <c r="M111" s="5" t="s">
        <v>39</v>
      </c>
    </row>
    <row r="112" spans="1:13" x14ac:dyDescent="0.35">
      <c r="A112" s="4">
        <v>252895</v>
      </c>
      <c r="B112" s="2">
        <v>3822476306</v>
      </c>
      <c r="C112" s="2" t="s">
        <v>3</v>
      </c>
      <c r="D112" s="2" t="s">
        <v>19</v>
      </c>
      <c r="E112" s="3">
        <v>44659</v>
      </c>
      <c r="F112" s="2" t="s">
        <v>21</v>
      </c>
      <c r="G112" s="2" t="s">
        <v>22</v>
      </c>
      <c r="H112" s="2" t="s">
        <v>23</v>
      </c>
      <c r="I112" s="2">
        <v>335.93</v>
      </c>
      <c r="J112" s="2">
        <v>2761.96</v>
      </c>
      <c r="K112" s="2">
        <v>2426.0300000000002</v>
      </c>
      <c r="L112" s="2" t="s">
        <v>37</v>
      </c>
      <c r="M112" s="5" t="s">
        <v>49</v>
      </c>
    </row>
    <row r="113" spans="1:13" x14ac:dyDescent="0.35">
      <c r="A113" s="4">
        <v>422122</v>
      </c>
      <c r="B113" s="2">
        <v>6545303811</v>
      </c>
      <c r="C113" s="2" t="s">
        <v>4</v>
      </c>
      <c r="D113" s="2" t="s">
        <v>20</v>
      </c>
      <c r="E113" s="3">
        <v>44290</v>
      </c>
      <c r="F113" s="2" t="s">
        <v>21</v>
      </c>
      <c r="G113" s="2" t="s">
        <v>22</v>
      </c>
      <c r="H113" s="2" t="s">
        <v>33</v>
      </c>
      <c r="I113" s="2">
        <v>449.27</v>
      </c>
      <c r="J113" s="2">
        <v>888.77</v>
      </c>
      <c r="K113" s="2">
        <v>439.5</v>
      </c>
      <c r="L113" s="2" t="s">
        <v>37</v>
      </c>
      <c r="M113" s="5" t="s">
        <v>5</v>
      </c>
    </row>
    <row r="114" spans="1:13" x14ac:dyDescent="0.35">
      <c r="A114" s="4">
        <v>952444</v>
      </c>
      <c r="B114" s="2">
        <v>4998260109</v>
      </c>
      <c r="C114" s="2" t="s">
        <v>4</v>
      </c>
      <c r="D114" s="2" t="s">
        <v>16</v>
      </c>
      <c r="E114" s="3">
        <v>43836</v>
      </c>
      <c r="F114" s="2" t="s">
        <v>36</v>
      </c>
      <c r="G114" s="2" t="s">
        <v>22</v>
      </c>
      <c r="H114" s="2" t="s">
        <v>29</v>
      </c>
      <c r="I114" s="2">
        <v>344.71</v>
      </c>
      <c r="J114" s="2">
        <v>3962.77</v>
      </c>
      <c r="K114" s="2">
        <v>3618.06</v>
      </c>
      <c r="L114" s="2" t="s">
        <v>45</v>
      </c>
      <c r="M114" s="5" t="s">
        <v>49</v>
      </c>
    </row>
    <row r="115" spans="1:13" x14ac:dyDescent="0.35">
      <c r="A115" s="4">
        <v>992466</v>
      </c>
      <c r="B115" s="2">
        <v>4480771051</v>
      </c>
      <c r="C115" s="2" t="s">
        <v>5</v>
      </c>
      <c r="D115" s="2" t="s">
        <v>18</v>
      </c>
      <c r="E115" s="3">
        <v>45507</v>
      </c>
      <c r="F115" s="2" t="s">
        <v>21</v>
      </c>
      <c r="G115" s="2" t="s">
        <v>22</v>
      </c>
      <c r="H115" s="2" t="s">
        <v>29</v>
      </c>
      <c r="I115" s="2">
        <v>94.71</v>
      </c>
      <c r="J115" s="2">
        <v>4127.22</v>
      </c>
      <c r="K115" s="2">
        <v>4032.51</v>
      </c>
      <c r="L115" s="2" t="s">
        <v>45</v>
      </c>
      <c r="M115" s="5" t="s">
        <v>39</v>
      </c>
    </row>
    <row r="116" spans="1:13" x14ac:dyDescent="0.35">
      <c r="A116" s="4">
        <v>635824</v>
      </c>
      <c r="B116" s="2">
        <v>2661614934</v>
      </c>
      <c r="C116" s="2" t="s">
        <v>5</v>
      </c>
      <c r="D116" s="2" t="s">
        <v>18</v>
      </c>
      <c r="E116" s="3">
        <v>44076</v>
      </c>
      <c r="F116" s="2" t="s">
        <v>35</v>
      </c>
      <c r="G116" s="2" t="s">
        <v>27</v>
      </c>
      <c r="H116" s="2" t="s">
        <v>28</v>
      </c>
      <c r="I116" s="2">
        <v>0</v>
      </c>
      <c r="J116" s="2">
        <v>530.70000000000005</v>
      </c>
      <c r="K116" s="2">
        <v>530.70000000000005</v>
      </c>
      <c r="L116" s="2" t="s">
        <v>37</v>
      </c>
      <c r="M116" s="5" t="s">
        <v>57</v>
      </c>
    </row>
    <row r="117" spans="1:13" x14ac:dyDescent="0.35">
      <c r="A117" s="4">
        <v>245608</v>
      </c>
      <c r="B117" s="2">
        <v>2200589997</v>
      </c>
      <c r="C117" s="2" t="s">
        <v>4</v>
      </c>
      <c r="D117" s="2" t="s">
        <v>19</v>
      </c>
      <c r="E117" s="3">
        <v>44161</v>
      </c>
      <c r="F117" s="2" t="s">
        <v>35</v>
      </c>
      <c r="G117" s="2" t="s">
        <v>22</v>
      </c>
      <c r="H117" s="2" t="s">
        <v>31</v>
      </c>
      <c r="I117" s="2">
        <v>142.34</v>
      </c>
      <c r="J117" s="2">
        <v>5698.36</v>
      </c>
      <c r="K117" s="2">
        <v>5556.02</v>
      </c>
      <c r="L117" s="2" t="s">
        <v>37</v>
      </c>
      <c r="M117" s="5" t="s">
        <v>40</v>
      </c>
    </row>
    <row r="118" spans="1:13" x14ac:dyDescent="0.35">
      <c r="A118" s="4">
        <v>426612</v>
      </c>
      <c r="B118" s="2">
        <v>7893855741</v>
      </c>
      <c r="C118" s="2" t="s">
        <v>3</v>
      </c>
      <c r="D118" s="2" t="s">
        <v>18</v>
      </c>
      <c r="E118" s="3">
        <v>44946</v>
      </c>
      <c r="F118" s="2" t="s">
        <v>21</v>
      </c>
      <c r="G118" s="2" t="s">
        <v>22</v>
      </c>
      <c r="H118" s="2" t="s">
        <v>33</v>
      </c>
      <c r="I118" s="2">
        <v>492.81</v>
      </c>
      <c r="J118" s="2">
        <v>5334.67</v>
      </c>
      <c r="K118" s="2">
        <v>4841.8599999999997</v>
      </c>
      <c r="L118" s="2" t="s">
        <v>43</v>
      </c>
      <c r="M118" s="5" t="s">
        <v>51</v>
      </c>
    </row>
    <row r="119" spans="1:13" x14ac:dyDescent="0.35">
      <c r="A119" s="4">
        <v>889471</v>
      </c>
      <c r="B119" s="2">
        <v>5684288373</v>
      </c>
      <c r="C119" s="2" t="s">
        <v>3</v>
      </c>
      <c r="D119" s="2" t="s">
        <v>20</v>
      </c>
      <c r="E119" s="3">
        <v>44218</v>
      </c>
      <c r="F119" s="2" t="s">
        <v>21</v>
      </c>
      <c r="G119" s="2" t="s">
        <v>22</v>
      </c>
      <c r="H119" s="2" t="s">
        <v>23</v>
      </c>
      <c r="I119" s="2">
        <v>57.1</v>
      </c>
      <c r="J119" s="2">
        <v>1422.66</v>
      </c>
      <c r="K119" s="2">
        <v>1365.56</v>
      </c>
      <c r="L119" s="2" t="s">
        <v>45</v>
      </c>
      <c r="M119" s="5" t="s">
        <v>51</v>
      </c>
    </row>
    <row r="120" spans="1:13" x14ac:dyDescent="0.35">
      <c r="A120" s="4">
        <v>874205</v>
      </c>
      <c r="B120" s="2">
        <v>5721065724</v>
      </c>
      <c r="C120" s="2" t="s">
        <v>5</v>
      </c>
      <c r="D120" s="2" t="s">
        <v>16</v>
      </c>
      <c r="E120" s="3">
        <v>44645</v>
      </c>
      <c r="F120" s="2" t="s">
        <v>35</v>
      </c>
      <c r="G120" s="2" t="s">
        <v>22</v>
      </c>
      <c r="H120" s="2" t="s">
        <v>24</v>
      </c>
      <c r="I120" s="2">
        <v>149.69999999999999</v>
      </c>
      <c r="J120" s="2">
        <v>3423.1</v>
      </c>
      <c r="K120" s="2">
        <v>3273.4</v>
      </c>
      <c r="L120" s="2" t="s">
        <v>45</v>
      </c>
      <c r="M120" s="5" t="s">
        <v>44</v>
      </c>
    </row>
    <row r="121" spans="1:13" x14ac:dyDescent="0.35">
      <c r="A121" s="4">
        <v>180069</v>
      </c>
      <c r="B121" s="2">
        <v>5085709956</v>
      </c>
      <c r="C121" s="2" t="s">
        <v>3</v>
      </c>
      <c r="D121" s="2" t="s">
        <v>17</v>
      </c>
      <c r="E121" s="3">
        <v>44158</v>
      </c>
      <c r="F121" s="2" t="s">
        <v>35</v>
      </c>
      <c r="G121" s="2" t="s">
        <v>27</v>
      </c>
      <c r="H121" s="2" t="s">
        <v>28</v>
      </c>
      <c r="I121" s="2">
        <v>0</v>
      </c>
      <c r="J121" s="2">
        <v>4746.88</v>
      </c>
      <c r="K121" s="2">
        <v>4746.88</v>
      </c>
      <c r="L121" s="2" t="s">
        <v>37</v>
      </c>
      <c r="M121" s="5" t="s">
        <v>48</v>
      </c>
    </row>
    <row r="122" spans="1:13" x14ac:dyDescent="0.35">
      <c r="A122" s="4">
        <v>916979</v>
      </c>
      <c r="B122" s="2">
        <v>4561474064</v>
      </c>
      <c r="C122" s="2" t="s">
        <v>5</v>
      </c>
      <c r="D122" s="2" t="s">
        <v>18</v>
      </c>
      <c r="E122" s="3">
        <v>43750</v>
      </c>
      <c r="F122" s="2" t="s">
        <v>25</v>
      </c>
      <c r="G122" s="2" t="s">
        <v>22</v>
      </c>
      <c r="H122" s="2" t="s">
        <v>33</v>
      </c>
      <c r="I122" s="2">
        <v>334.88</v>
      </c>
      <c r="J122" s="2">
        <v>3933.34</v>
      </c>
      <c r="K122" s="2">
        <v>3598.46</v>
      </c>
      <c r="L122" s="2" t="s">
        <v>43</v>
      </c>
      <c r="M122" s="5" t="s">
        <v>51</v>
      </c>
    </row>
    <row r="123" spans="1:13" x14ac:dyDescent="0.35">
      <c r="A123" s="4">
        <v>424785</v>
      </c>
      <c r="B123" s="2">
        <v>2297232532</v>
      </c>
      <c r="C123" s="2" t="s">
        <v>4</v>
      </c>
      <c r="D123" s="2" t="s">
        <v>16</v>
      </c>
      <c r="E123" s="3">
        <v>45110</v>
      </c>
      <c r="F123" s="2" t="s">
        <v>35</v>
      </c>
      <c r="G123" s="2" t="s">
        <v>22</v>
      </c>
      <c r="H123" s="2" t="s">
        <v>29</v>
      </c>
      <c r="I123" s="2">
        <v>342.91</v>
      </c>
      <c r="J123" s="2">
        <v>4422.6000000000004</v>
      </c>
      <c r="K123" s="2">
        <v>4079.69</v>
      </c>
      <c r="L123" s="2" t="s">
        <v>37</v>
      </c>
      <c r="M123" s="5" t="s">
        <v>39</v>
      </c>
    </row>
    <row r="124" spans="1:13" x14ac:dyDescent="0.35">
      <c r="A124" s="4">
        <v>397158</v>
      </c>
      <c r="B124" s="2">
        <v>5807028205</v>
      </c>
      <c r="C124" s="2" t="s">
        <v>4</v>
      </c>
      <c r="D124" s="2" t="s">
        <v>19</v>
      </c>
      <c r="E124" s="3">
        <v>44357</v>
      </c>
      <c r="F124" s="2" t="s">
        <v>32</v>
      </c>
      <c r="G124" s="2" t="s">
        <v>22</v>
      </c>
      <c r="H124" s="2" t="s">
        <v>24</v>
      </c>
      <c r="I124" s="2">
        <v>190.64</v>
      </c>
      <c r="J124" s="2">
        <v>1677.33</v>
      </c>
      <c r="K124" s="2">
        <v>1486.69</v>
      </c>
      <c r="L124" s="2" t="s">
        <v>41</v>
      </c>
      <c r="M124" s="5" t="s">
        <v>40</v>
      </c>
    </row>
    <row r="125" spans="1:13" x14ac:dyDescent="0.35">
      <c r="A125" s="4">
        <v>628027</v>
      </c>
      <c r="B125" s="2">
        <v>3535492230</v>
      </c>
      <c r="C125" s="2" t="s">
        <v>5</v>
      </c>
      <c r="D125" s="2" t="s">
        <v>18</v>
      </c>
      <c r="E125" s="3">
        <v>45019</v>
      </c>
      <c r="F125" s="2" t="s">
        <v>25</v>
      </c>
      <c r="G125" s="2" t="s">
        <v>27</v>
      </c>
      <c r="H125" s="2" t="s">
        <v>28</v>
      </c>
      <c r="I125" s="2">
        <v>0</v>
      </c>
      <c r="J125" s="2">
        <v>4659.2700000000004</v>
      </c>
      <c r="K125" s="2">
        <v>4659.2700000000004</v>
      </c>
      <c r="L125" s="2" t="s">
        <v>37</v>
      </c>
      <c r="M125" s="5" t="s">
        <v>39</v>
      </c>
    </row>
    <row r="126" spans="1:13" x14ac:dyDescent="0.35">
      <c r="A126" s="4">
        <v>133919</v>
      </c>
      <c r="B126" s="2">
        <v>6196549896</v>
      </c>
      <c r="C126" s="2" t="s">
        <v>3</v>
      </c>
      <c r="D126" s="2" t="s">
        <v>16</v>
      </c>
      <c r="E126" s="3">
        <v>43565</v>
      </c>
      <c r="F126" s="2" t="s">
        <v>36</v>
      </c>
      <c r="G126" s="2" t="s">
        <v>27</v>
      </c>
      <c r="H126" s="2" t="s">
        <v>28</v>
      </c>
      <c r="I126" s="2">
        <v>0</v>
      </c>
      <c r="J126" s="2">
        <v>4796.28</v>
      </c>
      <c r="K126" s="2">
        <v>4796.28</v>
      </c>
      <c r="L126" s="2" t="s">
        <v>41</v>
      </c>
      <c r="M126" s="5" t="s">
        <v>39</v>
      </c>
    </row>
    <row r="127" spans="1:13" x14ac:dyDescent="0.35">
      <c r="A127" s="4">
        <v>963355</v>
      </c>
      <c r="B127" s="2">
        <v>2701730832</v>
      </c>
      <c r="C127" s="2" t="s">
        <v>5</v>
      </c>
      <c r="D127" s="2" t="s">
        <v>16</v>
      </c>
      <c r="E127" s="3">
        <v>44119</v>
      </c>
      <c r="F127" s="2" t="s">
        <v>35</v>
      </c>
      <c r="G127" s="2" t="s">
        <v>27</v>
      </c>
      <c r="H127" s="2" t="s">
        <v>28</v>
      </c>
      <c r="I127" s="2">
        <v>0</v>
      </c>
      <c r="J127" s="2">
        <v>1429.42</v>
      </c>
      <c r="K127" s="2">
        <v>1429.42</v>
      </c>
      <c r="L127" s="2" t="s">
        <v>37</v>
      </c>
      <c r="M127" s="5" t="s">
        <v>40</v>
      </c>
    </row>
    <row r="128" spans="1:13" x14ac:dyDescent="0.35">
      <c r="A128" s="4">
        <v>194545</v>
      </c>
      <c r="B128" s="2">
        <v>8814292341</v>
      </c>
      <c r="C128" s="2" t="s">
        <v>4</v>
      </c>
      <c r="D128" s="2" t="s">
        <v>18</v>
      </c>
      <c r="E128" s="3">
        <v>43830</v>
      </c>
      <c r="F128" s="2" t="s">
        <v>35</v>
      </c>
      <c r="G128" s="2" t="s">
        <v>27</v>
      </c>
      <c r="H128" s="2" t="s">
        <v>28</v>
      </c>
      <c r="I128" s="2">
        <v>0</v>
      </c>
      <c r="J128" s="2">
        <v>5948.6</v>
      </c>
      <c r="K128" s="2">
        <v>5948.6</v>
      </c>
      <c r="L128" s="2" t="s">
        <v>37</v>
      </c>
      <c r="M128" s="5" t="s">
        <v>40</v>
      </c>
    </row>
    <row r="129" spans="1:13" x14ac:dyDescent="0.35">
      <c r="A129" s="4">
        <v>832140</v>
      </c>
      <c r="B129" s="2">
        <v>5171171195</v>
      </c>
      <c r="C129" s="2" t="s">
        <v>3</v>
      </c>
      <c r="D129" s="2" t="s">
        <v>18</v>
      </c>
      <c r="E129" s="3">
        <v>44103</v>
      </c>
      <c r="F129" s="2" t="s">
        <v>30</v>
      </c>
      <c r="G129" s="2" t="s">
        <v>27</v>
      </c>
      <c r="H129" s="2" t="s">
        <v>28</v>
      </c>
      <c r="I129" s="2">
        <v>0</v>
      </c>
      <c r="J129" s="2">
        <v>5092.95</v>
      </c>
      <c r="K129" s="2">
        <v>5092.95</v>
      </c>
      <c r="L129" s="2" t="s">
        <v>50</v>
      </c>
      <c r="M129" s="5" t="s">
        <v>51</v>
      </c>
    </row>
    <row r="130" spans="1:13" x14ac:dyDescent="0.35">
      <c r="A130" s="4">
        <v>239685</v>
      </c>
      <c r="B130" s="2">
        <v>4603484116</v>
      </c>
      <c r="C130" s="2" t="s">
        <v>3</v>
      </c>
      <c r="D130" s="2" t="s">
        <v>16</v>
      </c>
      <c r="E130" s="3">
        <v>45549</v>
      </c>
      <c r="F130" s="2" t="s">
        <v>32</v>
      </c>
      <c r="G130" s="2" t="s">
        <v>22</v>
      </c>
      <c r="H130" s="2" t="s">
        <v>33</v>
      </c>
      <c r="I130" s="2">
        <v>288.72000000000003</v>
      </c>
      <c r="J130" s="2">
        <v>2591.58</v>
      </c>
      <c r="K130" s="2">
        <v>2302.86</v>
      </c>
      <c r="L130" s="2" t="s">
        <v>41</v>
      </c>
      <c r="M130" s="5" t="s">
        <v>51</v>
      </c>
    </row>
    <row r="131" spans="1:13" x14ac:dyDescent="0.35">
      <c r="A131" s="4">
        <v>819100</v>
      </c>
      <c r="B131" s="2">
        <v>5488918077</v>
      </c>
      <c r="C131" s="2" t="s">
        <v>4</v>
      </c>
      <c r="D131" s="2" t="s">
        <v>19</v>
      </c>
      <c r="E131" s="3">
        <v>45379</v>
      </c>
      <c r="F131" s="2" t="s">
        <v>25</v>
      </c>
      <c r="G131" s="2" t="s">
        <v>22</v>
      </c>
      <c r="H131" s="2" t="s">
        <v>29</v>
      </c>
      <c r="I131" s="2">
        <v>120.01</v>
      </c>
      <c r="J131" s="2">
        <v>4523.2</v>
      </c>
      <c r="K131" s="2">
        <v>4403.1899999999996</v>
      </c>
      <c r="L131" s="2" t="s">
        <v>45</v>
      </c>
      <c r="M131" s="5" t="s">
        <v>49</v>
      </c>
    </row>
    <row r="132" spans="1:13" x14ac:dyDescent="0.35">
      <c r="A132" s="4">
        <v>891401</v>
      </c>
      <c r="B132" s="2">
        <v>8822525355</v>
      </c>
      <c r="C132" s="2" t="s">
        <v>5</v>
      </c>
      <c r="D132" s="2" t="s">
        <v>16</v>
      </c>
      <c r="E132" s="3">
        <v>43751</v>
      </c>
      <c r="F132" s="2" t="s">
        <v>21</v>
      </c>
      <c r="G132" s="2" t="s">
        <v>27</v>
      </c>
      <c r="H132" s="2" t="s">
        <v>28</v>
      </c>
      <c r="I132" s="2">
        <v>0</v>
      </c>
      <c r="J132" s="2">
        <v>1315.06</v>
      </c>
      <c r="K132" s="2">
        <v>1315.06</v>
      </c>
      <c r="L132" s="2" t="s">
        <v>45</v>
      </c>
      <c r="M132" s="5" t="s">
        <v>39</v>
      </c>
    </row>
    <row r="133" spans="1:13" x14ac:dyDescent="0.35">
      <c r="A133" s="4">
        <v>130791</v>
      </c>
      <c r="B133" s="2">
        <v>1794339400</v>
      </c>
      <c r="C133" s="2" t="s">
        <v>3</v>
      </c>
      <c r="D133" s="2" t="s">
        <v>16</v>
      </c>
      <c r="E133" s="3">
        <v>43984</v>
      </c>
      <c r="F133" s="2" t="s">
        <v>25</v>
      </c>
      <c r="G133" s="2" t="s">
        <v>27</v>
      </c>
      <c r="H133" s="2" t="s">
        <v>28</v>
      </c>
      <c r="I133" s="2">
        <v>0</v>
      </c>
      <c r="J133" s="2">
        <v>330.47</v>
      </c>
      <c r="K133" s="2">
        <v>330.47</v>
      </c>
      <c r="L133" s="2" t="s">
        <v>37</v>
      </c>
      <c r="M133" s="5" t="s">
        <v>39</v>
      </c>
    </row>
    <row r="134" spans="1:13" x14ac:dyDescent="0.35">
      <c r="A134" s="4">
        <v>948027</v>
      </c>
      <c r="B134" s="2">
        <v>2795239854</v>
      </c>
      <c r="C134" s="2" t="s">
        <v>5</v>
      </c>
      <c r="D134" s="2" t="s">
        <v>19</v>
      </c>
      <c r="E134" s="3">
        <v>45574</v>
      </c>
      <c r="F134" s="2" t="s">
        <v>21</v>
      </c>
      <c r="G134" s="2" t="s">
        <v>27</v>
      </c>
      <c r="H134" s="2" t="s">
        <v>28</v>
      </c>
      <c r="I134" s="2">
        <v>0</v>
      </c>
      <c r="J134" s="2">
        <v>2039.39</v>
      </c>
      <c r="K134" s="2">
        <v>2039.39</v>
      </c>
      <c r="L134" s="2" t="s">
        <v>37</v>
      </c>
      <c r="M134" s="5" t="s">
        <v>44</v>
      </c>
    </row>
    <row r="135" spans="1:13" x14ac:dyDescent="0.35">
      <c r="A135" s="4">
        <v>326387</v>
      </c>
      <c r="B135" s="2">
        <v>1209375126</v>
      </c>
      <c r="C135" s="2" t="s">
        <v>3</v>
      </c>
      <c r="D135" s="2" t="s">
        <v>16</v>
      </c>
      <c r="E135" s="3">
        <v>45518</v>
      </c>
      <c r="F135" s="2" t="s">
        <v>26</v>
      </c>
      <c r="G135" s="2" t="s">
        <v>27</v>
      </c>
      <c r="H135" s="2" t="s">
        <v>28</v>
      </c>
      <c r="I135" s="2">
        <v>0</v>
      </c>
      <c r="J135" s="2">
        <v>624.46</v>
      </c>
      <c r="K135" s="2">
        <v>624.46</v>
      </c>
      <c r="L135" s="2" t="s">
        <v>37</v>
      </c>
      <c r="M135" s="5" t="s">
        <v>44</v>
      </c>
    </row>
    <row r="136" spans="1:13" x14ac:dyDescent="0.35">
      <c r="A136" s="4">
        <v>904214</v>
      </c>
      <c r="B136" s="2">
        <v>2045904610</v>
      </c>
      <c r="C136" s="2" t="s">
        <v>4</v>
      </c>
      <c r="D136" s="2" t="s">
        <v>18</v>
      </c>
      <c r="E136" s="3">
        <v>44888</v>
      </c>
      <c r="F136" s="2" t="s">
        <v>25</v>
      </c>
      <c r="G136" s="2" t="s">
        <v>27</v>
      </c>
      <c r="H136" s="2" t="s">
        <v>28</v>
      </c>
      <c r="I136" s="2">
        <v>0</v>
      </c>
      <c r="J136" s="2">
        <v>5368.65</v>
      </c>
      <c r="K136" s="2">
        <v>5368.65</v>
      </c>
      <c r="L136" s="2" t="s">
        <v>37</v>
      </c>
      <c r="M136" s="5" t="s">
        <v>39</v>
      </c>
    </row>
    <row r="137" spans="1:13" x14ac:dyDescent="0.35">
      <c r="A137" s="4">
        <v>146266</v>
      </c>
      <c r="B137" s="2">
        <v>3658564061</v>
      </c>
      <c r="C137" s="2" t="s">
        <v>3</v>
      </c>
      <c r="D137" s="2" t="s">
        <v>18</v>
      </c>
      <c r="E137" s="3">
        <v>45248</v>
      </c>
      <c r="F137" s="2" t="s">
        <v>25</v>
      </c>
      <c r="G137" s="2" t="s">
        <v>27</v>
      </c>
      <c r="H137" s="2" t="s">
        <v>28</v>
      </c>
      <c r="I137" s="2">
        <v>0</v>
      </c>
      <c r="J137" s="2">
        <v>6529.11</v>
      </c>
      <c r="K137" s="2">
        <v>6529.11</v>
      </c>
      <c r="L137" s="2" t="s">
        <v>55</v>
      </c>
      <c r="M137" s="5" t="s">
        <v>53</v>
      </c>
    </row>
    <row r="138" spans="1:13" x14ac:dyDescent="0.35">
      <c r="A138" s="4">
        <v>634256</v>
      </c>
      <c r="B138" s="2">
        <v>7889966457</v>
      </c>
      <c r="C138" s="2" t="s">
        <v>3</v>
      </c>
      <c r="D138" s="2" t="s">
        <v>16</v>
      </c>
      <c r="E138" s="3">
        <v>44049</v>
      </c>
      <c r="F138" s="2" t="s">
        <v>32</v>
      </c>
      <c r="G138" s="2" t="s">
        <v>27</v>
      </c>
      <c r="H138" s="2" t="s">
        <v>28</v>
      </c>
      <c r="I138" s="2">
        <v>0</v>
      </c>
      <c r="J138" s="2">
        <v>4131.58</v>
      </c>
      <c r="K138" s="2">
        <v>4131.58</v>
      </c>
      <c r="L138" s="2" t="s">
        <v>37</v>
      </c>
      <c r="M138" s="5" t="s">
        <v>39</v>
      </c>
    </row>
    <row r="139" spans="1:13" x14ac:dyDescent="0.35">
      <c r="A139" s="4">
        <v>264603</v>
      </c>
      <c r="B139" s="2">
        <v>3592883858</v>
      </c>
      <c r="C139" s="2" t="s">
        <v>3</v>
      </c>
      <c r="D139" s="2" t="s">
        <v>16</v>
      </c>
      <c r="E139" s="3">
        <v>43733</v>
      </c>
      <c r="F139" s="2" t="s">
        <v>34</v>
      </c>
      <c r="G139" s="2" t="s">
        <v>22</v>
      </c>
      <c r="H139" s="2" t="s">
        <v>29</v>
      </c>
      <c r="I139" s="2">
        <v>207.22</v>
      </c>
      <c r="J139" s="2">
        <v>3861.68</v>
      </c>
      <c r="K139" s="2">
        <v>3654.46</v>
      </c>
      <c r="L139" s="2" t="s">
        <v>37</v>
      </c>
      <c r="M139" s="5" t="s">
        <v>39</v>
      </c>
    </row>
    <row r="140" spans="1:13" x14ac:dyDescent="0.35">
      <c r="A140" s="4">
        <v>915437</v>
      </c>
      <c r="B140" s="2">
        <v>9839621789</v>
      </c>
      <c r="C140" s="2" t="s">
        <v>3</v>
      </c>
      <c r="D140" s="2" t="s">
        <v>16</v>
      </c>
      <c r="E140" s="3">
        <v>43794</v>
      </c>
      <c r="F140" s="2" t="s">
        <v>21</v>
      </c>
      <c r="G140" s="2" t="s">
        <v>22</v>
      </c>
      <c r="H140" s="2" t="s">
        <v>33</v>
      </c>
      <c r="I140" s="2">
        <v>397.78</v>
      </c>
      <c r="J140" s="2">
        <v>3310.41</v>
      </c>
      <c r="K140" s="2">
        <v>2912.63</v>
      </c>
      <c r="L140" s="2" t="s">
        <v>37</v>
      </c>
      <c r="M140" s="5" t="s">
        <v>44</v>
      </c>
    </row>
    <row r="141" spans="1:13" x14ac:dyDescent="0.35">
      <c r="A141" s="4">
        <v>983678</v>
      </c>
      <c r="B141" s="2">
        <v>6762092117</v>
      </c>
      <c r="C141" s="2" t="s">
        <v>5</v>
      </c>
      <c r="D141" s="2" t="s">
        <v>16</v>
      </c>
      <c r="E141" s="3">
        <v>44036</v>
      </c>
      <c r="F141" s="2" t="s">
        <v>25</v>
      </c>
      <c r="G141" s="2" t="s">
        <v>27</v>
      </c>
      <c r="H141" s="2" t="s">
        <v>28</v>
      </c>
      <c r="I141" s="2">
        <v>0</v>
      </c>
      <c r="J141" s="2">
        <v>4102.8100000000004</v>
      </c>
      <c r="K141" s="2">
        <v>4102.8100000000004</v>
      </c>
      <c r="L141" s="2" t="s">
        <v>42</v>
      </c>
      <c r="M141" s="5" t="s">
        <v>49</v>
      </c>
    </row>
    <row r="142" spans="1:13" x14ac:dyDescent="0.35">
      <c r="A142" s="4">
        <v>326533</v>
      </c>
      <c r="B142" s="2">
        <v>2618270081</v>
      </c>
      <c r="C142" s="2" t="s">
        <v>3</v>
      </c>
      <c r="D142" s="2" t="s">
        <v>18</v>
      </c>
      <c r="E142" s="3">
        <v>44299</v>
      </c>
      <c r="F142" s="2" t="s">
        <v>21</v>
      </c>
      <c r="G142" s="2" t="s">
        <v>22</v>
      </c>
      <c r="H142" s="2" t="s">
        <v>24</v>
      </c>
      <c r="I142" s="2">
        <v>83.39</v>
      </c>
      <c r="J142" s="2">
        <v>2628.4</v>
      </c>
      <c r="K142" s="2">
        <v>2545.0100000000002</v>
      </c>
      <c r="L142" s="2" t="s">
        <v>41</v>
      </c>
      <c r="M142" s="5" t="s">
        <v>40</v>
      </c>
    </row>
    <row r="143" spans="1:13" x14ac:dyDescent="0.35">
      <c r="A143" s="4">
        <v>208699</v>
      </c>
      <c r="B143" s="2">
        <v>8909982624</v>
      </c>
      <c r="C143" s="2" t="s">
        <v>3</v>
      </c>
      <c r="D143" s="2" t="s">
        <v>19</v>
      </c>
      <c r="E143" s="3">
        <v>44604</v>
      </c>
      <c r="F143" s="2" t="s">
        <v>32</v>
      </c>
      <c r="G143" s="2" t="s">
        <v>27</v>
      </c>
      <c r="H143" s="2" t="s">
        <v>28</v>
      </c>
      <c r="I143" s="2">
        <v>0</v>
      </c>
      <c r="J143" s="2">
        <v>3854.58</v>
      </c>
      <c r="K143" s="2">
        <v>3854.58</v>
      </c>
      <c r="L143" s="2" t="s">
        <v>37</v>
      </c>
      <c r="M143" s="5" t="s">
        <v>48</v>
      </c>
    </row>
    <row r="144" spans="1:13" x14ac:dyDescent="0.35">
      <c r="A144" s="4">
        <v>898112</v>
      </c>
      <c r="B144" s="2">
        <v>8202725858</v>
      </c>
      <c r="C144" s="2" t="s">
        <v>5</v>
      </c>
      <c r="D144" s="2" t="s">
        <v>19</v>
      </c>
      <c r="E144" s="3">
        <v>45256</v>
      </c>
      <c r="F144" s="2" t="s">
        <v>26</v>
      </c>
      <c r="G144" s="2" t="s">
        <v>22</v>
      </c>
      <c r="H144" s="2" t="s">
        <v>24</v>
      </c>
      <c r="I144" s="2">
        <v>264.02999999999997</v>
      </c>
      <c r="J144" s="2">
        <v>1375.42</v>
      </c>
      <c r="K144" s="2">
        <v>1111.3900000000001</v>
      </c>
      <c r="L144" s="2" t="s">
        <v>37</v>
      </c>
      <c r="M144" s="5" t="s">
        <v>49</v>
      </c>
    </row>
    <row r="145" spans="1:13" x14ac:dyDescent="0.35">
      <c r="A145" s="4">
        <v>990429</v>
      </c>
      <c r="B145" s="2">
        <v>9864771002</v>
      </c>
      <c r="C145" s="2" t="s">
        <v>4</v>
      </c>
      <c r="D145" s="2" t="s">
        <v>17</v>
      </c>
      <c r="E145" s="3">
        <v>44753</v>
      </c>
      <c r="F145" s="2" t="s">
        <v>32</v>
      </c>
      <c r="G145" s="2" t="s">
        <v>22</v>
      </c>
      <c r="H145" s="2" t="s">
        <v>33</v>
      </c>
      <c r="I145" s="2">
        <v>368.43</v>
      </c>
      <c r="J145" s="2">
        <v>7409.64</v>
      </c>
      <c r="K145" s="2">
        <v>7041.21</v>
      </c>
      <c r="L145" s="2" t="s">
        <v>50</v>
      </c>
      <c r="M145" s="5" t="s">
        <v>51</v>
      </c>
    </row>
    <row r="146" spans="1:13" x14ac:dyDescent="0.35">
      <c r="A146" s="4">
        <v>160329</v>
      </c>
      <c r="B146" s="2">
        <v>7870668249</v>
      </c>
      <c r="C146" s="2" t="s">
        <v>4</v>
      </c>
      <c r="D146" s="2" t="s">
        <v>18</v>
      </c>
      <c r="E146" s="3">
        <v>43735</v>
      </c>
      <c r="F146" s="2" t="s">
        <v>21</v>
      </c>
      <c r="G146" s="2" t="s">
        <v>27</v>
      </c>
      <c r="H146" s="2" t="s">
        <v>28</v>
      </c>
      <c r="I146" s="2">
        <v>0</v>
      </c>
      <c r="J146" s="2">
        <v>3614.78</v>
      </c>
      <c r="K146" s="2">
        <v>3614.78</v>
      </c>
      <c r="L146" s="2" t="s">
        <v>37</v>
      </c>
      <c r="M146" s="5" t="s">
        <v>39</v>
      </c>
    </row>
    <row r="147" spans="1:13" x14ac:dyDescent="0.35">
      <c r="A147" s="4">
        <v>533649</v>
      </c>
      <c r="B147" s="2">
        <v>8417812693</v>
      </c>
      <c r="C147" s="2" t="s">
        <v>5</v>
      </c>
      <c r="D147" s="2" t="s">
        <v>18</v>
      </c>
      <c r="E147" s="3">
        <v>45527</v>
      </c>
      <c r="F147" s="2" t="s">
        <v>35</v>
      </c>
      <c r="G147" s="2" t="s">
        <v>27</v>
      </c>
      <c r="H147" s="2" t="s">
        <v>28</v>
      </c>
      <c r="I147" s="2">
        <v>0</v>
      </c>
      <c r="J147" s="2">
        <v>1715.23</v>
      </c>
      <c r="K147" s="2">
        <v>1715.23</v>
      </c>
      <c r="L147" s="2" t="s">
        <v>37</v>
      </c>
      <c r="M147" s="5" t="s">
        <v>38</v>
      </c>
    </row>
    <row r="148" spans="1:13" x14ac:dyDescent="0.35">
      <c r="A148" s="4">
        <v>190674</v>
      </c>
      <c r="B148" s="2">
        <v>1612576201</v>
      </c>
      <c r="C148" s="2" t="s">
        <v>4</v>
      </c>
      <c r="D148" s="2" t="s">
        <v>18</v>
      </c>
      <c r="E148" s="3">
        <v>43728</v>
      </c>
      <c r="F148" s="2" t="s">
        <v>35</v>
      </c>
      <c r="G148" s="2" t="s">
        <v>27</v>
      </c>
      <c r="H148" s="2" t="s">
        <v>28</v>
      </c>
      <c r="I148" s="2">
        <v>0</v>
      </c>
      <c r="J148" s="2">
        <v>814.19</v>
      </c>
      <c r="K148" s="2">
        <v>814.19</v>
      </c>
      <c r="L148" s="2" t="s">
        <v>37</v>
      </c>
      <c r="M148" s="5" t="s">
        <v>57</v>
      </c>
    </row>
    <row r="149" spans="1:13" x14ac:dyDescent="0.35">
      <c r="A149" s="4">
        <v>794530</v>
      </c>
      <c r="B149" s="2">
        <v>8643478669</v>
      </c>
      <c r="C149" s="2" t="s">
        <v>3</v>
      </c>
      <c r="D149" s="2" t="s">
        <v>19</v>
      </c>
      <c r="E149" s="3">
        <v>44402</v>
      </c>
      <c r="F149" s="2" t="s">
        <v>25</v>
      </c>
      <c r="G149" s="2" t="s">
        <v>22</v>
      </c>
      <c r="H149" s="2" t="s">
        <v>23</v>
      </c>
      <c r="I149" s="2">
        <v>240.53</v>
      </c>
      <c r="J149" s="2">
        <v>1885.82</v>
      </c>
      <c r="K149" s="2">
        <v>1645.29</v>
      </c>
      <c r="L149" s="2" t="s">
        <v>47</v>
      </c>
      <c r="M149" s="5" t="s">
        <v>38</v>
      </c>
    </row>
    <row r="150" spans="1:13" x14ac:dyDescent="0.35">
      <c r="A150" s="4">
        <v>249119</v>
      </c>
      <c r="B150" s="2">
        <v>2006451779</v>
      </c>
      <c r="C150" s="2" t="s">
        <v>3</v>
      </c>
      <c r="D150" s="2" t="s">
        <v>19</v>
      </c>
      <c r="E150" s="3">
        <v>44923</v>
      </c>
      <c r="F150" s="2" t="s">
        <v>36</v>
      </c>
      <c r="G150" s="2" t="s">
        <v>22</v>
      </c>
      <c r="H150" s="2" t="s">
        <v>33</v>
      </c>
      <c r="I150" s="2">
        <v>183.11</v>
      </c>
      <c r="J150" s="2">
        <v>6395.53</v>
      </c>
      <c r="K150" s="2">
        <v>6212.42</v>
      </c>
      <c r="L150" s="2" t="s">
        <v>37</v>
      </c>
      <c r="M150" s="5" t="s">
        <v>51</v>
      </c>
    </row>
    <row r="151" spans="1:13" x14ac:dyDescent="0.35">
      <c r="A151" s="4">
        <v>140970</v>
      </c>
      <c r="B151" s="2">
        <v>7308117627</v>
      </c>
      <c r="C151" s="2" t="s">
        <v>5</v>
      </c>
      <c r="D151" s="2" t="s">
        <v>20</v>
      </c>
      <c r="E151" s="3">
        <v>45447</v>
      </c>
      <c r="F151" s="2" t="s">
        <v>32</v>
      </c>
      <c r="G151" s="2" t="s">
        <v>22</v>
      </c>
      <c r="H151" s="2" t="s">
        <v>23</v>
      </c>
      <c r="I151" s="2">
        <v>119.41</v>
      </c>
      <c r="J151" s="2">
        <v>1283.8800000000001</v>
      </c>
      <c r="K151" s="2">
        <v>1164.47</v>
      </c>
      <c r="L151" s="2" t="s">
        <v>43</v>
      </c>
      <c r="M151" s="5" t="s">
        <v>40</v>
      </c>
    </row>
    <row r="152" spans="1:13" x14ac:dyDescent="0.35">
      <c r="A152" s="4">
        <v>621091</v>
      </c>
      <c r="B152" s="2">
        <v>4300165020</v>
      </c>
      <c r="C152" s="2" t="s">
        <v>5</v>
      </c>
      <c r="D152" s="2" t="s">
        <v>16</v>
      </c>
      <c r="E152" s="3">
        <v>44612</v>
      </c>
      <c r="F152" s="2" t="s">
        <v>21</v>
      </c>
      <c r="G152" s="2" t="s">
        <v>27</v>
      </c>
      <c r="H152" s="2" t="s">
        <v>28</v>
      </c>
      <c r="I152" s="2">
        <v>0</v>
      </c>
      <c r="J152" s="2">
        <v>3713.62</v>
      </c>
      <c r="K152" s="2">
        <v>3713.62</v>
      </c>
      <c r="L152" s="2" t="s">
        <v>37</v>
      </c>
      <c r="M152" s="5" t="s">
        <v>57</v>
      </c>
    </row>
    <row r="153" spans="1:13" x14ac:dyDescent="0.35">
      <c r="A153" s="4">
        <v>422662</v>
      </c>
      <c r="B153" s="2">
        <v>6718738908</v>
      </c>
      <c r="C153" s="2" t="s">
        <v>3</v>
      </c>
      <c r="D153" s="2" t="s">
        <v>19</v>
      </c>
      <c r="E153" s="3">
        <v>44745</v>
      </c>
      <c r="F153" s="2" t="s">
        <v>21</v>
      </c>
      <c r="G153" s="2" t="s">
        <v>22</v>
      </c>
      <c r="H153" s="2" t="s">
        <v>24</v>
      </c>
      <c r="I153" s="2">
        <v>476.21</v>
      </c>
      <c r="J153" s="2">
        <v>5380.05</v>
      </c>
      <c r="K153" s="2">
        <v>4903.84</v>
      </c>
      <c r="L153" s="2" t="s">
        <v>55</v>
      </c>
      <c r="M153" s="5" t="s">
        <v>52</v>
      </c>
    </row>
    <row r="154" spans="1:13" x14ac:dyDescent="0.35">
      <c r="A154" s="4">
        <v>543785</v>
      </c>
      <c r="B154" s="2">
        <v>6347504201</v>
      </c>
      <c r="C154" s="2" t="s">
        <v>5</v>
      </c>
      <c r="D154" s="2" t="s">
        <v>16</v>
      </c>
      <c r="E154" s="3">
        <v>43767</v>
      </c>
      <c r="F154" s="2" t="s">
        <v>34</v>
      </c>
      <c r="G154" s="2" t="s">
        <v>22</v>
      </c>
      <c r="H154" s="2" t="s">
        <v>31</v>
      </c>
      <c r="I154" s="2">
        <v>112.28</v>
      </c>
      <c r="J154" s="2">
        <v>1498.77</v>
      </c>
      <c r="K154" s="2">
        <v>1386.49</v>
      </c>
      <c r="L154" s="2" t="s">
        <v>41</v>
      </c>
      <c r="M154" s="5" t="s">
        <v>51</v>
      </c>
    </row>
    <row r="155" spans="1:13" x14ac:dyDescent="0.35">
      <c r="A155" s="4">
        <v>885314</v>
      </c>
      <c r="B155" s="2">
        <v>8545986937</v>
      </c>
      <c r="C155" s="2" t="s">
        <v>5</v>
      </c>
      <c r="D155" s="2" t="s">
        <v>19</v>
      </c>
      <c r="E155" s="3">
        <v>44335</v>
      </c>
      <c r="F155" s="2" t="s">
        <v>35</v>
      </c>
      <c r="G155" s="2" t="s">
        <v>27</v>
      </c>
      <c r="H155" s="2" t="s">
        <v>28</v>
      </c>
      <c r="I155" s="2">
        <v>0</v>
      </c>
      <c r="J155" s="2">
        <v>612.47</v>
      </c>
      <c r="K155" s="2">
        <v>612.47</v>
      </c>
      <c r="L155" s="2" t="s">
        <v>37</v>
      </c>
      <c r="M155" s="5" t="s">
        <v>48</v>
      </c>
    </row>
    <row r="156" spans="1:13" x14ac:dyDescent="0.35">
      <c r="A156" s="4">
        <v>803175</v>
      </c>
      <c r="B156" s="2">
        <v>9934732205</v>
      </c>
      <c r="C156" s="2" t="s">
        <v>3</v>
      </c>
      <c r="D156" s="2" t="s">
        <v>16</v>
      </c>
      <c r="E156" s="3">
        <v>45129</v>
      </c>
      <c r="F156" s="2" t="s">
        <v>30</v>
      </c>
      <c r="G156" s="2" t="s">
        <v>22</v>
      </c>
      <c r="H156" s="2" t="s">
        <v>31</v>
      </c>
      <c r="I156" s="2">
        <v>448.08</v>
      </c>
      <c r="J156" s="2">
        <v>5035.8100000000004</v>
      </c>
      <c r="K156" s="2">
        <v>4587.7299999999996</v>
      </c>
      <c r="L156" s="2" t="s">
        <v>37</v>
      </c>
      <c r="M156" s="5" t="s">
        <v>53</v>
      </c>
    </row>
    <row r="157" spans="1:13" x14ac:dyDescent="0.35">
      <c r="A157" s="4">
        <v>797453</v>
      </c>
      <c r="B157" s="2">
        <v>9478415511</v>
      </c>
      <c r="C157" s="2" t="s">
        <v>3</v>
      </c>
      <c r="D157" s="2" t="s">
        <v>17</v>
      </c>
      <c r="E157" s="3">
        <v>45204</v>
      </c>
      <c r="F157" s="2" t="s">
        <v>35</v>
      </c>
      <c r="G157" s="2" t="s">
        <v>22</v>
      </c>
      <c r="H157" s="2" t="s">
        <v>24</v>
      </c>
      <c r="I157" s="2">
        <v>94.59</v>
      </c>
      <c r="J157" s="2">
        <v>4339.58</v>
      </c>
      <c r="K157" s="2">
        <v>4244.99</v>
      </c>
      <c r="L157" s="2" t="s">
        <v>37</v>
      </c>
      <c r="M157" s="5" t="s">
        <v>40</v>
      </c>
    </row>
    <row r="158" spans="1:13" x14ac:dyDescent="0.35">
      <c r="A158" s="4">
        <v>567593</v>
      </c>
      <c r="B158" s="2">
        <v>9457634418</v>
      </c>
      <c r="C158" s="2" t="s">
        <v>5</v>
      </c>
      <c r="D158" s="2" t="s">
        <v>19</v>
      </c>
      <c r="E158" s="3">
        <v>45235</v>
      </c>
      <c r="F158" s="2" t="s">
        <v>21</v>
      </c>
      <c r="G158" s="2" t="s">
        <v>22</v>
      </c>
      <c r="H158" s="2" t="s">
        <v>31</v>
      </c>
      <c r="I158" s="2">
        <v>261.10000000000002</v>
      </c>
      <c r="J158" s="2">
        <v>3761.33</v>
      </c>
      <c r="K158" s="2">
        <v>3500.23</v>
      </c>
      <c r="L158" s="2" t="s">
        <v>37</v>
      </c>
      <c r="M158" s="5" t="s">
        <v>38</v>
      </c>
    </row>
    <row r="159" spans="1:13" x14ac:dyDescent="0.35">
      <c r="A159" s="4">
        <v>552275</v>
      </c>
      <c r="B159" s="2">
        <v>2460208715</v>
      </c>
      <c r="C159" s="2" t="s">
        <v>3</v>
      </c>
      <c r="D159" s="2" t="s">
        <v>19</v>
      </c>
      <c r="E159" s="3">
        <v>44798</v>
      </c>
      <c r="F159" s="2" t="s">
        <v>21</v>
      </c>
      <c r="G159" s="2" t="s">
        <v>27</v>
      </c>
      <c r="H159" s="2" t="s">
        <v>28</v>
      </c>
      <c r="I159" s="2">
        <v>0</v>
      </c>
      <c r="J159" s="2">
        <v>792.65</v>
      </c>
      <c r="K159" s="2">
        <v>792.65</v>
      </c>
      <c r="L159" s="2" t="s">
        <v>37</v>
      </c>
      <c r="M159" s="5" t="s">
        <v>49</v>
      </c>
    </row>
    <row r="160" spans="1:13" x14ac:dyDescent="0.35">
      <c r="A160" s="4">
        <v>246327</v>
      </c>
      <c r="B160" s="2">
        <v>2795684935</v>
      </c>
      <c r="C160" s="2" t="s">
        <v>3</v>
      </c>
      <c r="D160" s="2" t="s">
        <v>16</v>
      </c>
      <c r="E160" s="3">
        <v>44145</v>
      </c>
      <c r="F160" s="2" t="s">
        <v>21</v>
      </c>
      <c r="G160" s="2" t="s">
        <v>22</v>
      </c>
      <c r="H160" s="2" t="s">
        <v>33</v>
      </c>
      <c r="I160" s="2">
        <v>457.32</v>
      </c>
      <c r="J160" s="2">
        <v>3516.03</v>
      </c>
      <c r="K160" s="2">
        <v>3058.71</v>
      </c>
      <c r="L160" s="2" t="s">
        <v>37</v>
      </c>
      <c r="M160" s="5" t="s">
        <v>49</v>
      </c>
    </row>
    <row r="161" spans="1:13" x14ac:dyDescent="0.35">
      <c r="A161" s="4">
        <v>718226</v>
      </c>
      <c r="B161" s="2">
        <v>3471747857</v>
      </c>
      <c r="C161" s="2" t="s">
        <v>4</v>
      </c>
      <c r="D161" s="2" t="s">
        <v>18</v>
      </c>
      <c r="E161" s="3">
        <v>45388</v>
      </c>
      <c r="F161" s="2" t="s">
        <v>35</v>
      </c>
      <c r="G161" s="2" t="s">
        <v>27</v>
      </c>
      <c r="H161" s="2" t="s">
        <v>28</v>
      </c>
      <c r="I161" s="2">
        <v>0</v>
      </c>
      <c r="J161" s="2">
        <v>1481.33</v>
      </c>
      <c r="K161" s="2">
        <v>1481.33</v>
      </c>
      <c r="L161" s="2" t="s">
        <v>45</v>
      </c>
      <c r="M161" s="5" t="s">
        <v>51</v>
      </c>
    </row>
    <row r="162" spans="1:13" x14ac:dyDescent="0.35">
      <c r="A162" s="4">
        <v>164506</v>
      </c>
      <c r="B162" s="2">
        <v>6674305390</v>
      </c>
      <c r="C162" s="2" t="s">
        <v>3</v>
      </c>
      <c r="D162" s="2" t="s">
        <v>16</v>
      </c>
      <c r="E162" s="3">
        <v>45428</v>
      </c>
      <c r="F162" s="2" t="s">
        <v>26</v>
      </c>
      <c r="G162" s="2" t="s">
        <v>22</v>
      </c>
      <c r="H162" s="2" t="s">
        <v>24</v>
      </c>
      <c r="I162" s="2">
        <v>261.56</v>
      </c>
      <c r="J162" s="2">
        <v>4041.25</v>
      </c>
      <c r="K162" s="2">
        <v>3779.69</v>
      </c>
      <c r="L162" s="2" t="s">
        <v>41</v>
      </c>
      <c r="M162" s="5" t="s">
        <v>56</v>
      </c>
    </row>
    <row r="163" spans="1:13" x14ac:dyDescent="0.35">
      <c r="A163" s="4">
        <v>423365</v>
      </c>
      <c r="B163" s="2">
        <v>5530950213</v>
      </c>
      <c r="C163" s="2" t="s">
        <v>3</v>
      </c>
      <c r="D163" s="2" t="s">
        <v>18</v>
      </c>
      <c r="E163" s="3">
        <v>43987</v>
      </c>
      <c r="F163" s="2" t="s">
        <v>21</v>
      </c>
      <c r="G163" s="2" t="s">
        <v>22</v>
      </c>
      <c r="H163" s="2" t="s">
        <v>31</v>
      </c>
      <c r="I163" s="2">
        <v>380.83</v>
      </c>
      <c r="J163" s="2">
        <v>1850.86</v>
      </c>
      <c r="K163" s="2">
        <v>1470.03</v>
      </c>
      <c r="L163" s="2" t="s">
        <v>47</v>
      </c>
      <c r="M163" s="5" t="s">
        <v>44</v>
      </c>
    </row>
    <row r="164" spans="1:13" x14ac:dyDescent="0.35">
      <c r="A164" s="4">
        <v>483366</v>
      </c>
      <c r="B164" s="2">
        <v>3684129433</v>
      </c>
      <c r="C164" s="2" t="s">
        <v>4</v>
      </c>
      <c r="D164" s="2" t="s">
        <v>19</v>
      </c>
      <c r="E164" s="3">
        <v>44211</v>
      </c>
      <c r="F164" s="2" t="s">
        <v>25</v>
      </c>
      <c r="G164" s="2" t="s">
        <v>27</v>
      </c>
      <c r="H164" s="2" t="s">
        <v>28</v>
      </c>
      <c r="I164" s="2">
        <v>0</v>
      </c>
      <c r="J164" s="2">
        <v>3181.78</v>
      </c>
      <c r="K164" s="2">
        <v>3181.78</v>
      </c>
      <c r="L164" s="2" t="s">
        <v>41</v>
      </c>
      <c r="M164" s="5" t="s">
        <v>38</v>
      </c>
    </row>
    <row r="165" spans="1:13" x14ac:dyDescent="0.35">
      <c r="A165" s="4">
        <v>910326</v>
      </c>
      <c r="B165" s="2">
        <v>1567130806</v>
      </c>
      <c r="C165" s="2" t="s">
        <v>3</v>
      </c>
      <c r="D165" s="2" t="s">
        <v>18</v>
      </c>
      <c r="E165" s="3">
        <v>43942</v>
      </c>
      <c r="F165" s="2" t="s">
        <v>34</v>
      </c>
      <c r="G165" s="2" t="s">
        <v>22</v>
      </c>
      <c r="H165" s="2" t="s">
        <v>29</v>
      </c>
      <c r="I165" s="2">
        <v>192.02</v>
      </c>
      <c r="J165" s="2">
        <v>1736.56</v>
      </c>
      <c r="K165" s="2">
        <v>1544.54</v>
      </c>
      <c r="L165" s="2" t="s">
        <v>41</v>
      </c>
      <c r="M165" s="5" t="s">
        <v>51</v>
      </c>
    </row>
    <row r="166" spans="1:13" x14ac:dyDescent="0.35">
      <c r="A166" s="4">
        <v>619829</v>
      </c>
      <c r="B166" s="2">
        <v>3899843526</v>
      </c>
      <c r="C166" s="2" t="s">
        <v>5</v>
      </c>
      <c r="D166" s="2" t="s">
        <v>19</v>
      </c>
      <c r="E166" s="3">
        <v>44941</v>
      </c>
      <c r="F166" s="2" t="s">
        <v>35</v>
      </c>
      <c r="G166" s="2" t="s">
        <v>27</v>
      </c>
      <c r="H166" s="2" t="s">
        <v>28</v>
      </c>
      <c r="I166" s="2">
        <v>0</v>
      </c>
      <c r="J166" s="2">
        <v>4677.88</v>
      </c>
      <c r="K166" s="2">
        <v>4677.88</v>
      </c>
      <c r="L166" s="2" t="s">
        <v>37</v>
      </c>
      <c r="M166" s="5" t="s">
        <v>51</v>
      </c>
    </row>
    <row r="167" spans="1:13" x14ac:dyDescent="0.35">
      <c r="A167" s="4">
        <v>858243</v>
      </c>
      <c r="B167" s="2">
        <v>9277952079</v>
      </c>
      <c r="C167" s="2" t="s">
        <v>5</v>
      </c>
      <c r="D167" s="2" t="s">
        <v>16</v>
      </c>
      <c r="E167" s="3">
        <v>43536</v>
      </c>
      <c r="F167" s="2" t="s">
        <v>25</v>
      </c>
      <c r="G167" s="2" t="s">
        <v>27</v>
      </c>
      <c r="H167" s="2" t="s">
        <v>28</v>
      </c>
      <c r="I167" s="2">
        <v>0</v>
      </c>
      <c r="J167" s="2">
        <v>6284.59</v>
      </c>
      <c r="K167" s="2">
        <v>6284.59</v>
      </c>
      <c r="L167" s="2" t="s">
        <v>37</v>
      </c>
      <c r="M167" s="5" t="s">
        <v>48</v>
      </c>
    </row>
    <row r="168" spans="1:13" x14ac:dyDescent="0.35">
      <c r="A168" s="4">
        <v>121715</v>
      </c>
      <c r="B168" s="2">
        <v>8842204961</v>
      </c>
      <c r="C168" s="2" t="s">
        <v>4</v>
      </c>
      <c r="D168" s="2" t="s">
        <v>16</v>
      </c>
      <c r="E168" s="3">
        <v>45174</v>
      </c>
      <c r="F168" s="2" t="s">
        <v>21</v>
      </c>
      <c r="G168" s="2" t="s">
        <v>27</v>
      </c>
      <c r="H168" s="2" t="s">
        <v>28</v>
      </c>
      <c r="I168" s="2">
        <v>0</v>
      </c>
      <c r="J168" s="2">
        <v>4842.68</v>
      </c>
      <c r="K168" s="2">
        <v>4842.68</v>
      </c>
      <c r="L168" s="2" t="s">
        <v>45</v>
      </c>
      <c r="M168" s="5" t="s">
        <v>54</v>
      </c>
    </row>
    <row r="169" spans="1:13" x14ac:dyDescent="0.35">
      <c r="A169" s="4">
        <v>772322</v>
      </c>
      <c r="B169" s="2">
        <v>6173278546</v>
      </c>
      <c r="C169" s="2" t="s">
        <v>3</v>
      </c>
      <c r="D169" s="2" t="s">
        <v>16</v>
      </c>
      <c r="E169" s="3">
        <v>44491</v>
      </c>
      <c r="F169" s="2" t="s">
        <v>35</v>
      </c>
      <c r="G169" s="2" t="s">
        <v>22</v>
      </c>
      <c r="H169" s="2" t="s">
        <v>24</v>
      </c>
      <c r="I169" s="2">
        <v>183.04</v>
      </c>
      <c r="J169" s="2">
        <v>2798.35</v>
      </c>
      <c r="K169" s="2">
        <v>2615.31</v>
      </c>
      <c r="L169" s="2" t="s">
        <v>50</v>
      </c>
      <c r="M169" s="5" t="s">
        <v>40</v>
      </c>
    </row>
    <row r="170" spans="1:13" x14ac:dyDescent="0.35">
      <c r="A170" s="4">
        <v>854675</v>
      </c>
      <c r="B170" s="2">
        <v>1581896260</v>
      </c>
      <c r="C170" s="2" t="s">
        <v>3</v>
      </c>
      <c r="D170" s="2" t="s">
        <v>16</v>
      </c>
      <c r="E170" s="3">
        <v>44343</v>
      </c>
      <c r="F170" s="2" t="s">
        <v>25</v>
      </c>
      <c r="G170" s="2" t="s">
        <v>27</v>
      </c>
      <c r="H170" s="2" t="s">
        <v>28</v>
      </c>
      <c r="I170" s="2">
        <v>0</v>
      </c>
      <c r="J170" s="2">
        <v>1629.75</v>
      </c>
      <c r="K170" s="2">
        <v>1629.75</v>
      </c>
      <c r="L170" s="2" t="s">
        <v>41</v>
      </c>
      <c r="M170" s="5" t="s">
        <v>52</v>
      </c>
    </row>
    <row r="171" spans="1:13" x14ac:dyDescent="0.35">
      <c r="A171" s="4">
        <v>558320</v>
      </c>
      <c r="B171" s="2">
        <v>8232533158</v>
      </c>
      <c r="C171" s="2" t="s">
        <v>3</v>
      </c>
      <c r="D171" s="2" t="s">
        <v>19</v>
      </c>
      <c r="E171" s="3">
        <v>43961</v>
      </c>
      <c r="F171" s="2" t="s">
        <v>35</v>
      </c>
      <c r="G171" s="2" t="s">
        <v>22</v>
      </c>
      <c r="H171" s="2" t="s">
        <v>33</v>
      </c>
      <c r="I171" s="2">
        <v>323.41000000000003</v>
      </c>
      <c r="J171" s="2">
        <v>4549.96</v>
      </c>
      <c r="K171" s="2">
        <v>4226.55</v>
      </c>
      <c r="L171" s="2" t="s">
        <v>37</v>
      </c>
      <c r="M171" s="5" t="s">
        <v>38</v>
      </c>
    </row>
    <row r="172" spans="1:13" x14ac:dyDescent="0.35">
      <c r="A172" s="4">
        <v>826501</v>
      </c>
      <c r="B172" s="2">
        <v>7610603526</v>
      </c>
      <c r="C172" s="2" t="s">
        <v>3</v>
      </c>
      <c r="D172" s="2" t="s">
        <v>16</v>
      </c>
      <c r="E172" s="3">
        <v>45635</v>
      </c>
      <c r="F172" s="2" t="s">
        <v>21</v>
      </c>
      <c r="G172" s="2" t="s">
        <v>22</v>
      </c>
      <c r="H172" s="2" t="s">
        <v>23</v>
      </c>
      <c r="I172" s="2">
        <v>355.58</v>
      </c>
      <c r="J172" s="2">
        <v>6236.72</v>
      </c>
      <c r="K172" s="2">
        <v>5881.14</v>
      </c>
      <c r="L172" s="2" t="s">
        <v>41</v>
      </c>
      <c r="M172" s="5" t="s">
        <v>53</v>
      </c>
    </row>
    <row r="173" spans="1:13" x14ac:dyDescent="0.35">
      <c r="A173" s="4">
        <v>880823</v>
      </c>
      <c r="B173" s="2">
        <v>1667061516</v>
      </c>
      <c r="C173" s="2" t="s">
        <v>4</v>
      </c>
      <c r="D173" s="2" t="s">
        <v>16</v>
      </c>
      <c r="E173" s="3">
        <v>44156</v>
      </c>
      <c r="F173" s="2" t="s">
        <v>21</v>
      </c>
      <c r="G173" s="2" t="s">
        <v>27</v>
      </c>
      <c r="H173" s="2" t="s">
        <v>28</v>
      </c>
      <c r="I173" s="2">
        <v>0</v>
      </c>
      <c r="J173" s="2">
        <v>1857.25</v>
      </c>
      <c r="K173" s="2">
        <v>1857.25</v>
      </c>
      <c r="L173" s="2" t="s">
        <v>37</v>
      </c>
      <c r="M173" s="5" t="s">
        <v>40</v>
      </c>
    </row>
    <row r="174" spans="1:13" x14ac:dyDescent="0.35">
      <c r="A174" s="4">
        <v>156440</v>
      </c>
      <c r="B174" s="2">
        <v>8389326831</v>
      </c>
      <c r="C174" s="2" t="s">
        <v>3</v>
      </c>
      <c r="D174" s="2" t="s">
        <v>19</v>
      </c>
      <c r="E174" s="3">
        <v>45320</v>
      </c>
      <c r="F174" s="2" t="s">
        <v>21</v>
      </c>
      <c r="G174" s="2" t="s">
        <v>27</v>
      </c>
      <c r="H174" s="2" t="s">
        <v>28</v>
      </c>
      <c r="I174" s="2">
        <v>0</v>
      </c>
      <c r="J174" s="2">
        <v>4010.15</v>
      </c>
      <c r="K174" s="2">
        <v>4010.15</v>
      </c>
      <c r="L174" s="2" t="s">
        <v>41</v>
      </c>
      <c r="M174" s="5" t="s">
        <v>51</v>
      </c>
    </row>
    <row r="175" spans="1:13" x14ac:dyDescent="0.35">
      <c r="A175" s="4">
        <v>435169</v>
      </c>
      <c r="B175" s="2">
        <v>6873944495</v>
      </c>
      <c r="C175" s="2" t="s">
        <v>5</v>
      </c>
      <c r="D175" s="2" t="s">
        <v>16</v>
      </c>
      <c r="E175" s="3">
        <v>44324</v>
      </c>
      <c r="F175" s="2" t="s">
        <v>21</v>
      </c>
      <c r="G175" s="2" t="s">
        <v>22</v>
      </c>
      <c r="H175" s="2" t="s">
        <v>24</v>
      </c>
      <c r="I175" s="2">
        <v>454.41</v>
      </c>
      <c r="J175" s="2">
        <v>2539.67</v>
      </c>
      <c r="K175" s="2">
        <v>2085.2600000000002</v>
      </c>
      <c r="L175" s="2" t="s">
        <v>42</v>
      </c>
      <c r="M175" s="5" t="s">
        <v>51</v>
      </c>
    </row>
    <row r="176" spans="1:13" x14ac:dyDescent="0.35">
      <c r="A176" s="4">
        <v>578073</v>
      </c>
      <c r="B176" s="2">
        <v>9210323216</v>
      </c>
      <c r="C176" s="2" t="s">
        <v>5</v>
      </c>
      <c r="D176" s="2" t="s">
        <v>16</v>
      </c>
      <c r="E176" s="3">
        <v>43957</v>
      </c>
      <c r="F176" s="2" t="s">
        <v>5</v>
      </c>
      <c r="G176" s="2" t="s">
        <v>27</v>
      </c>
      <c r="H176" s="2" t="s">
        <v>28</v>
      </c>
      <c r="I176" s="2">
        <v>0</v>
      </c>
      <c r="J176" s="2">
        <v>4226.95</v>
      </c>
      <c r="K176" s="2">
        <v>4226.95</v>
      </c>
      <c r="L176" s="2" t="s">
        <v>55</v>
      </c>
      <c r="M176" s="5" t="s">
        <v>44</v>
      </c>
    </row>
    <row r="177" spans="1:13" x14ac:dyDescent="0.35">
      <c r="A177" s="4">
        <v>129824</v>
      </c>
      <c r="B177" s="2">
        <v>5651992539</v>
      </c>
      <c r="C177" s="2" t="s">
        <v>5</v>
      </c>
      <c r="D177" s="2" t="s">
        <v>19</v>
      </c>
      <c r="E177" s="3">
        <v>44287</v>
      </c>
      <c r="F177" s="2" t="s">
        <v>30</v>
      </c>
      <c r="G177" s="2" t="s">
        <v>22</v>
      </c>
      <c r="H177" s="2" t="s">
        <v>29</v>
      </c>
      <c r="I177" s="2">
        <v>406.43</v>
      </c>
      <c r="J177" s="2">
        <v>1285.19</v>
      </c>
      <c r="K177" s="2">
        <v>878.76</v>
      </c>
      <c r="L177" s="2" t="s">
        <v>41</v>
      </c>
      <c r="M177" s="5" t="s">
        <v>39</v>
      </c>
    </row>
    <row r="178" spans="1:13" x14ac:dyDescent="0.35">
      <c r="A178" s="4">
        <v>647427</v>
      </c>
      <c r="B178" s="2">
        <v>7898894409</v>
      </c>
      <c r="C178" s="2" t="s">
        <v>3</v>
      </c>
      <c r="D178" s="2" t="s">
        <v>19</v>
      </c>
      <c r="E178" s="3">
        <v>44444</v>
      </c>
      <c r="F178" s="2" t="s">
        <v>35</v>
      </c>
      <c r="G178" s="2" t="s">
        <v>22</v>
      </c>
      <c r="H178" s="2" t="s">
        <v>33</v>
      </c>
      <c r="I178" s="2">
        <v>229.17</v>
      </c>
      <c r="J178" s="2">
        <v>3989.84</v>
      </c>
      <c r="K178" s="2">
        <v>3760.67</v>
      </c>
      <c r="L178" s="2" t="s">
        <v>37</v>
      </c>
      <c r="M178" s="5" t="s">
        <v>49</v>
      </c>
    </row>
    <row r="179" spans="1:13" x14ac:dyDescent="0.35">
      <c r="A179" s="4">
        <v>521761</v>
      </c>
      <c r="B179" s="2">
        <v>1092657277</v>
      </c>
      <c r="C179" s="2" t="s">
        <v>4</v>
      </c>
      <c r="D179" s="2" t="s">
        <v>18</v>
      </c>
      <c r="E179" s="3">
        <v>43817</v>
      </c>
      <c r="F179" s="2" t="s">
        <v>34</v>
      </c>
      <c r="G179" s="2" t="s">
        <v>22</v>
      </c>
      <c r="H179" s="2" t="s">
        <v>24</v>
      </c>
      <c r="I179" s="2">
        <v>356.05</v>
      </c>
      <c r="J179" s="2">
        <v>2549.2600000000002</v>
      </c>
      <c r="K179" s="2">
        <v>2193.21</v>
      </c>
      <c r="L179" s="2" t="s">
        <v>50</v>
      </c>
      <c r="M179" s="5" t="s">
        <v>46</v>
      </c>
    </row>
    <row r="180" spans="1:13" x14ac:dyDescent="0.35">
      <c r="A180" s="4">
        <v>651752</v>
      </c>
      <c r="B180" s="2">
        <v>6346552300</v>
      </c>
      <c r="C180" s="2" t="s">
        <v>4</v>
      </c>
      <c r="D180" s="2" t="s">
        <v>16</v>
      </c>
      <c r="E180" s="3">
        <v>44773</v>
      </c>
      <c r="F180" s="2" t="s">
        <v>21</v>
      </c>
      <c r="G180" s="2" t="s">
        <v>22</v>
      </c>
      <c r="H180" s="2" t="s">
        <v>31</v>
      </c>
      <c r="I180" s="2">
        <v>283.14999999999998</v>
      </c>
      <c r="J180" s="2">
        <v>1681.88</v>
      </c>
      <c r="K180" s="2">
        <v>1398.73</v>
      </c>
      <c r="L180" s="2" t="s">
        <v>55</v>
      </c>
      <c r="M180" s="5" t="s">
        <v>52</v>
      </c>
    </row>
    <row r="181" spans="1:13" x14ac:dyDescent="0.35">
      <c r="A181" s="4">
        <v>559337</v>
      </c>
      <c r="B181" s="2">
        <v>3993121885</v>
      </c>
      <c r="C181" s="2" t="s">
        <v>3</v>
      </c>
      <c r="D181" s="2" t="s">
        <v>19</v>
      </c>
      <c r="E181" s="3">
        <v>44483</v>
      </c>
      <c r="F181" s="2" t="s">
        <v>26</v>
      </c>
      <c r="G181" s="2" t="s">
        <v>22</v>
      </c>
      <c r="H181" s="2" t="s">
        <v>33</v>
      </c>
      <c r="I181" s="2">
        <v>335.78</v>
      </c>
      <c r="J181" s="2">
        <v>3414.11</v>
      </c>
      <c r="K181" s="2">
        <v>3078.33</v>
      </c>
      <c r="L181" s="2" t="s">
        <v>37</v>
      </c>
      <c r="M181" s="5" t="s">
        <v>48</v>
      </c>
    </row>
    <row r="182" spans="1:13" x14ac:dyDescent="0.35">
      <c r="A182" s="4">
        <v>657381</v>
      </c>
      <c r="B182" s="2">
        <v>1314175063</v>
      </c>
      <c r="C182" s="2" t="s">
        <v>4</v>
      </c>
      <c r="D182" s="2" t="s">
        <v>16</v>
      </c>
      <c r="E182" s="3">
        <v>44024</v>
      </c>
      <c r="F182" s="2" t="s">
        <v>35</v>
      </c>
      <c r="G182" s="2" t="s">
        <v>22</v>
      </c>
      <c r="H182" s="2" t="s">
        <v>33</v>
      </c>
      <c r="I182" s="2">
        <v>331.02</v>
      </c>
      <c r="J182" s="2">
        <v>6651.31</v>
      </c>
      <c r="K182" s="2">
        <v>6320.29</v>
      </c>
      <c r="L182" s="2" t="s">
        <v>37</v>
      </c>
      <c r="M182" s="5" t="s">
        <v>49</v>
      </c>
    </row>
    <row r="183" spans="1:13" x14ac:dyDescent="0.35">
      <c r="A183" s="4">
        <v>821715</v>
      </c>
      <c r="B183" s="2">
        <v>6410168846</v>
      </c>
      <c r="C183" s="2" t="s">
        <v>5</v>
      </c>
      <c r="D183" s="2" t="s">
        <v>20</v>
      </c>
      <c r="E183" s="3">
        <v>44798</v>
      </c>
      <c r="F183" s="2" t="s">
        <v>35</v>
      </c>
      <c r="G183" s="2" t="s">
        <v>27</v>
      </c>
      <c r="H183" s="2" t="s">
        <v>28</v>
      </c>
      <c r="I183" s="2">
        <v>0</v>
      </c>
      <c r="J183" s="2">
        <v>3804.18</v>
      </c>
      <c r="K183" s="2">
        <v>3804.18</v>
      </c>
      <c r="L183" s="2" t="s">
        <v>50</v>
      </c>
      <c r="M183" s="5" t="s">
        <v>51</v>
      </c>
    </row>
    <row r="184" spans="1:13" x14ac:dyDescent="0.35">
      <c r="A184" s="4">
        <v>118415</v>
      </c>
      <c r="B184" s="2">
        <v>8951945984</v>
      </c>
      <c r="C184" s="2" t="s">
        <v>4</v>
      </c>
      <c r="D184" s="2" t="s">
        <v>16</v>
      </c>
      <c r="E184" s="3">
        <v>44908</v>
      </c>
      <c r="F184" s="2" t="s">
        <v>35</v>
      </c>
      <c r="G184" s="2" t="s">
        <v>27</v>
      </c>
      <c r="H184" s="2" t="s">
        <v>28</v>
      </c>
      <c r="I184" s="2">
        <v>0</v>
      </c>
      <c r="J184" s="2">
        <v>4012.57</v>
      </c>
      <c r="K184" s="2">
        <v>4012.57</v>
      </c>
      <c r="L184" s="2" t="s">
        <v>41</v>
      </c>
      <c r="M184" s="5" t="s">
        <v>40</v>
      </c>
    </row>
    <row r="185" spans="1:13" x14ac:dyDescent="0.35">
      <c r="A185" s="4">
        <v>285938</v>
      </c>
      <c r="B185" s="2">
        <v>3631121893</v>
      </c>
      <c r="C185" s="2" t="s">
        <v>3</v>
      </c>
      <c r="D185" s="2" t="s">
        <v>16</v>
      </c>
      <c r="E185" s="3">
        <v>44121</v>
      </c>
      <c r="F185" s="2" t="s">
        <v>21</v>
      </c>
      <c r="G185" s="2" t="s">
        <v>22</v>
      </c>
      <c r="H185" s="2" t="s">
        <v>24</v>
      </c>
      <c r="I185" s="2">
        <v>114.65</v>
      </c>
      <c r="J185" s="2">
        <v>4999.07</v>
      </c>
      <c r="K185" s="2">
        <v>4884.42</v>
      </c>
      <c r="L185" s="2" t="s">
        <v>37</v>
      </c>
      <c r="M185" s="5" t="s">
        <v>39</v>
      </c>
    </row>
    <row r="186" spans="1:13" x14ac:dyDescent="0.35">
      <c r="A186" s="4">
        <v>661365</v>
      </c>
      <c r="B186" s="2">
        <v>9464945840</v>
      </c>
      <c r="C186" s="2" t="s">
        <v>5</v>
      </c>
      <c r="D186" s="2" t="s">
        <v>18</v>
      </c>
      <c r="E186" s="3">
        <v>45508</v>
      </c>
      <c r="F186" s="2" t="s">
        <v>32</v>
      </c>
      <c r="G186" s="2" t="s">
        <v>22</v>
      </c>
      <c r="H186" s="2" t="s">
        <v>24</v>
      </c>
      <c r="I186" s="2">
        <v>259.91000000000003</v>
      </c>
      <c r="J186" s="2">
        <v>1809.05</v>
      </c>
      <c r="K186" s="2">
        <v>1549.14</v>
      </c>
      <c r="L186" s="2" t="s">
        <v>55</v>
      </c>
      <c r="M186" s="5" t="s">
        <v>40</v>
      </c>
    </row>
    <row r="187" spans="1:13" x14ac:dyDescent="0.35">
      <c r="A187" s="4">
        <v>737433</v>
      </c>
      <c r="B187" s="2">
        <v>8359880081</v>
      </c>
      <c r="C187" s="2" t="s">
        <v>3</v>
      </c>
      <c r="D187" s="2" t="s">
        <v>19</v>
      </c>
      <c r="E187" s="3">
        <v>43959</v>
      </c>
      <c r="F187" s="2" t="s">
        <v>21</v>
      </c>
      <c r="G187" s="2" t="s">
        <v>22</v>
      </c>
      <c r="H187" s="2" t="s">
        <v>31</v>
      </c>
      <c r="I187" s="2">
        <v>470.19</v>
      </c>
      <c r="J187" s="2">
        <v>3829.84</v>
      </c>
      <c r="K187" s="2">
        <v>3359.65</v>
      </c>
      <c r="L187" s="2" t="s">
        <v>42</v>
      </c>
      <c r="M187" s="5" t="s">
        <v>39</v>
      </c>
    </row>
    <row r="188" spans="1:13" x14ac:dyDescent="0.35">
      <c r="A188" s="4">
        <v>815234</v>
      </c>
      <c r="B188" s="2">
        <v>3378313269</v>
      </c>
      <c r="C188" s="2" t="s">
        <v>5</v>
      </c>
      <c r="D188" s="2" t="s">
        <v>16</v>
      </c>
      <c r="E188" s="3">
        <v>45242</v>
      </c>
      <c r="F188" s="2" t="s">
        <v>25</v>
      </c>
      <c r="G188" s="2" t="s">
        <v>22</v>
      </c>
      <c r="H188" s="2" t="s">
        <v>33</v>
      </c>
      <c r="I188" s="2">
        <v>226.96</v>
      </c>
      <c r="J188" s="2">
        <v>3977.52</v>
      </c>
      <c r="K188" s="2">
        <v>3750.56</v>
      </c>
      <c r="L188" s="2" t="s">
        <v>41</v>
      </c>
      <c r="M188" s="5" t="s">
        <v>40</v>
      </c>
    </row>
    <row r="189" spans="1:13" x14ac:dyDescent="0.35">
      <c r="A189" s="4">
        <v>308205</v>
      </c>
      <c r="B189" s="2">
        <v>7067648660</v>
      </c>
      <c r="C189" s="2" t="s">
        <v>3</v>
      </c>
      <c r="D189" s="2" t="s">
        <v>16</v>
      </c>
      <c r="E189" s="3">
        <v>45498</v>
      </c>
      <c r="F189" s="2" t="s">
        <v>25</v>
      </c>
      <c r="G189" s="2" t="s">
        <v>27</v>
      </c>
      <c r="H189" s="2" t="s">
        <v>28</v>
      </c>
      <c r="I189" s="2">
        <v>0</v>
      </c>
      <c r="J189" s="2">
        <v>1727.87</v>
      </c>
      <c r="K189" s="2">
        <v>1727.87</v>
      </c>
      <c r="L189" s="2" t="s">
        <v>37</v>
      </c>
      <c r="M189" s="5" t="s">
        <v>48</v>
      </c>
    </row>
    <row r="190" spans="1:13" x14ac:dyDescent="0.35">
      <c r="A190" s="4">
        <v>750810</v>
      </c>
      <c r="B190" s="2">
        <v>9527364106</v>
      </c>
      <c r="C190" s="2" t="s">
        <v>5</v>
      </c>
      <c r="D190" s="2" t="s">
        <v>16</v>
      </c>
      <c r="E190" s="3">
        <v>44262</v>
      </c>
      <c r="F190" s="2" t="s">
        <v>25</v>
      </c>
      <c r="G190" s="2" t="s">
        <v>27</v>
      </c>
      <c r="H190" s="2" t="s">
        <v>28</v>
      </c>
      <c r="I190" s="2">
        <v>0</v>
      </c>
      <c r="J190" s="2">
        <v>365.74</v>
      </c>
      <c r="K190" s="2">
        <v>365.74</v>
      </c>
      <c r="L190" s="2" t="s">
        <v>43</v>
      </c>
      <c r="M190" s="5" t="s">
        <v>44</v>
      </c>
    </row>
    <row r="191" spans="1:13" x14ac:dyDescent="0.35">
      <c r="A191" s="4">
        <v>287143</v>
      </c>
      <c r="B191" s="2">
        <v>1598980635</v>
      </c>
      <c r="C191" s="2" t="s">
        <v>4</v>
      </c>
      <c r="D191" s="2" t="s">
        <v>18</v>
      </c>
      <c r="E191" s="3">
        <v>44050</v>
      </c>
      <c r="F191" s="2" t="s">
        <v>21</v>
      </c>
      <c r="G191" s="2" t="s">
        <v>27</v>
      </c>
      <c r="H191" s="2" t="s">
        <v>28</v>
      </c>
      <c r="I191" s="2">
        <v>0</v>
      </c>
      <c r="J191" s="2">
        <v>3924.36</v>
      </c>
      <c r="K191" s="2">
        <v>3924.36</v>
      </c>
      <c r="L191" s="2" t="s">
        <v>41</v>
      </c>
      <c r="M191" s="5" t="s">
        <v>39</v>
      </c>
    </row>
    <row r="192" spans="1:13" x14ac:dyDescent="0.35">
      <c r="A192" s="4">
        <v>958835</v>
      </c>
      <c r="B192" s="2">
        <v>4740049775</v>
      </c>
      <c r="C192" s="2" t="s">
        <v>3</v>
      </c>
      <c r="D192" s="2" t="s">
        <v>17</v>
      </c>
      <c r="E192" s="3">
        <v>45078</v>
      </c>
      <c r="F192" s="2" t="s">
        <v>21</v>
      </c>
      <c r="G192" s="2" t="s">
        <v>27</v>
      </c>
      <c r="H192" s="2" t="s">
        <v>28</v>
      </c>
      <c r="I192" s="2">
        <v>0</v>
      </c>
      <c r="J192" s="2">
        <v>4116.51</v>
      </c>
      <c r="K192" s="2">
        <v>4116.51</v>
      </c>
      <c r="L192" s="2" t="s">
        <v>37</v>
      </c>
      <c r="M192" s="5" t="s">
        <v>49</v>
      </c>
    </row>
    <row r="193" spans="1:13" x14ac:dyDescent="0.35">
      <c r="A193" s="4">
        <v>881410</v>
      </c>
      <c r="B193" s="2">
        <v>8747384224</v>
      </c>
      <c r="C193" s="2" t="s">
        <v>4</v>
      </c>
      <c r="D193" s="2" t="s">
        <v>20</v>
      </c>
      <c r="E193" s="3">
        <v>44410</v>
      </c>
      <c r="F193" s="2" t="s">
        <v>25</v>
      </c>
      <c r="G193" s="2" t="s">
        <v>27</v>
      </c>
      <c r="H193" s="2" t="s">
        <v>28</v>
      </c>
      <c r="I193" s="2">
        <v>0</v>
      </c>
      <c r="J193" s="2">
        <v>2495.29</v>
      </c>
      <c r="K193" s="2">
        <v>2495.29</v>
      </c>
      <c r="L193" s="2" t="s">
        <v>37</v>
      </c>
      <c r="M193" s="5" t="s">
        <v>44</v>
      </c>
    </row>
    <row r="194" spans="1:13" x14ac:dyDescent="0.35">
      <c r="A194" s="4">
        <v>319770</v>
      </c>
      <c r="B194" s="2">
        <v>8302858928</v>
      </c>
      <c r="C194" s="2" t="s">
        <v>4</v>
      </c>
      <c r="D194" s="2" t="s">
        <v>16</v>
      </c>
      <c r="E194" s="3">
        <v>44948</v>
      </c>
      <c r="F194" s="2" t="s">
        <v>35</v>
      </c>
      <c r="G194" s="2" t="s">
        <v>27</v>
      </c>
      <c r="H194" s="2" t="s">
        <v>28</v>
      </c>
      <c r="I194" s="2">
        <v>0</v>
      </c>
      <c r="J194" s="2">
        <v>3271.92</v>
      </c>
      <c r="K194" s="2">
        <v>3271.92</v>
      </c>
      <c r="L194" s="2" t="s">
        <v>37</v>
      </c>
      <c r="M194" s="5" t="s">
        <v>51</v>
      </c>
    </row>
    <row r="195" spans="1:13" x14ac:dyDescent="0.35">
      <c r="A195" s="4">
        <v>872776</v>
      </c>
      <c r="B195" s="2">
        <v>2257725836</v>
      </c>
      <c r="C195" s="2" t="s">
        <v>5</v>
      </c>
      <c r="D195" s="2" t="s">
        <v>18</v>
      </c>
      <c r="E195" s="3">
        <v>45066</v>
      </c>
      <c r="F195" s="2" t="s">
        <v>35</v>
      </c>
      <c r="G195" s="2" t="s">
        <v>27</v>
      </c>
      <c r="H195" s="2" t="s">
        <v>28</v>
      </c>
      <c r="I195" s="2">
        <v>0</v>
      </c>
      <c r="J195" s="2">
        <v>2107.81</v>
      </c>
      <c r="K195" s="2">
        <v>2107.81</v>
      </c>
      <c r="L195" s="2" t="s">
        <v>45</v>
      </c>
      <c r="M195" s="5" t="s">
        <v>54</v>
      </c>
    </row>
    <row r="196" spans="1:13" x14ac:dyDescent="0.35">
      <c r="A196" s="4">
        <v>882401</v>
      </c>
      <c r="B196" s="2">
        <v>9106697363</v>
      </c>
      <c r="C196" s="2" t="s">
        <v>5</v>
      </c>
      <c r="D196" s="2" t="s">
        <v>16</v>
      </c>
      <c r="E196" s="3">
        <v>43925</v>
      </c>
      <c r="F196" s="2" t="s">
        <v>35</v>
      </c>
      <c r="G196" s="2" t="s">
        <v>22</v>
      </c>
      <c r="H196" s="2" t="s">
        <v>23</v>
      </c>
      <c r="I196" s="2">
        <v>169.49</v>
      </c>
      <c r="J196" s="2">
        <v>3496.1</v>
      </c>
      <c r="K196" s="2">
        <v>3326.61</v>
      </c>
      <c r="L196" s="2" t="s">
        <v>47</v>
      </c>
      <c r="M196" s="5" t="s">
        <v>38</v>
      </c>
    </row>
    <row r="197" spans="1:13" x14ac:dyDescent="0.35">
      <c r="A197" s="4">
        <v>730970</v>
      </c>
      <c r="B197" s="2">
        <v>4459519466</v>
      </c>
      <c r="C197" s="2" t="s">
        <v>4</v>
      </c>
      <c r="D197" s="2" t="s">
        <v>18</v>
      </c>
      <c r="E197" s="3">
        <v>45243</v>
      </c>
      <c r="F197" s="2" t="s">
        <v>26</v>
      </c>
      <c r="G197" s="2" t="s">
        <v>27</v>
      </c>
      <c r="H197" s="2" t="s">
        <v>28</v>
      </c>
      <c r="I197" s="2">
        <v>0</v>
      </c>
      <c r="J197" s="2">
        <v>1352.07</v>
      </c>
      <c r="K197" s="2">
        <v>1352.07</v>
      </c>
      <c r="L197" s="2" t="s">
        <v>41</v>
      </c>
      <c r="M197" s="5" t="s">
        <v>49</v>
      </c>
    </row>
    <row r="198" spans="1:13" x14ac:dyDescent="0.35">
      <c r="A198" s="4">
        <v>813327</v>
      </c>
      <c r="B198" s="2">
        <v>6496054316</v>
      </c>
      <c r="C198" s="2" t="s">
        <v>3</v>
      </c>
      <c r="D198" s="2" t="s">
        <v>20</v>
      </c>
      <c r="E198" s="3">
        <v>44800</v>
      </c>
      <c r="F198" s="2" t="s">
        <v>36</v>
      </c>
      <c r="G198" s="2" t="s">
        <v>22</v>
      </c>
      <c r="H198" s="2" t="s">
        <v>24</v>
      </c>
      <c r="I198" s="2">
        <v>141.75</v>
      </c>
      <c r="J198" s="2">
        <v>2971.39</v>
      </c>
      <c r="K198" s="2">
        <v>2829.64</v>
      </c>
      <c r="L198" s="2" t="s">
        <v>37</v>
      </c>
      <c r="M198" s="5" t="s">
        <v>40</v>
      </c>
    </row>
    <row r="199" spans="1:13" x14ac:dyDescent="0.35">
      <c r="A199" s="4">
        <v>304370</v>
      </c>
      <c r="B199" s="2">
        <v>6364015307</v>
      </c>
      <c r="C199" s="2" t="s">
        <v>5</v>
      </c>
      <c r="D199" s="2" t="s">
        <v>18</v>
      </c>
      <c r="E199" s="3">
        <v>44862</v>
      </c>
      <c r="F199" s="2" t="s">
        <v>26</v>
      </c>
      <c r="G199" s="2" t="s">
        <v>27</v>
      </c>
      <c r="H199" s="2" t="s">
        <v>28</v>
      </c>
      <c r="I199" s="2">
        <v>0</v>
      </c>
      <c r="J199" s="2">
        <v>6313.49</v>
      </c>
      <c r="K199" s="2">
        <v>6313.49</v>
      </c>
      <c r="L199" s="2" t="s">
        <v>37</v>
      </c>
      <c r="M199" s="5" t="s">
        <v>40</v>
      </c>
    </row>
    <row r="200" spans="1:13" x14ac:dyDescent="0.35">
      <c r="A200" s="4">
        <v>265326</v>
      </c>
      <c r="B200" s="2">
        <v>8183939355</v>
      </c>
      <c r="C200" s="2" t="s">
        <v>4</v>
      </c>
      <c r="D200" s="2" t="s">
        <v>19</v>
      </c>
      <c r="E200" s="3">
        <v>44703</v>
      </c>
      <c r="F200" s="2" t="s">
        <v>25</v>
      </c>
      <c r="G200" s="2" t="s">
        <v>27</v>
      </c>
      <c r="H200" s="2" t="s">
        <v>28</v>
      </c>
      <c r="I200" s="2">
        <v>0</v>
      </c>
      <c r="J200" s="2">
        <v>3942.15</v>
      </c>
      <c r="K200" s="2">
        <v>3942.15</v>
      </c>
      <c r="L200" s="2" t="s">
        <v>37</v>
      </c>
      <c r="M200" s="5" t="s">
        <v>40</v>
      </c>
    </row>
    <row r="201" spans="1:13" x14ac:dyDescent="0.35">
      <c r="A201" s="4">
        <v>931710</v>
      </c>
      <c r="B201" s="2">
        <v>7059050795</v>
      </c>
      <c r="C201" s="2" t="s">
        <v>4</v>
      </c>
      <c r="D201" s="2" t="s">
        <v>16</v>
      </c>
      <c r="E201" s="3">
        <v>45370</v>
      </c>
      <c r="F201" s="2" t="s">
        <v>21</v>
      </c>
      <c r="G201" s="2" t="s">
        <v>27</v>
      </c>
      <c r="H201" s="2" t="s">
        <v>28</v>
      </c>
      <c r="I201" s="2">
        <v>0</v>
      </c>
      <c r="J201" s="2">
        <v>4619.6099999999997</v>
      </c>
      <c r="K201" s="2">
        <v>4619.6099999999997</v>
      </c>
      <c r="L201" s="2" t="s">
        <v>37</v>
      </c>
      <c r="M201" s="5" t="s">
        <v>40</v>
      </c>
    </row>
    <row r="202" spans="1:13" x14ac:dyDescent="0.35">
      <c r="A202" s="4">
        <v>167755</v>
      </c>
      <c r="B202" s="2">
        <v>2829056890</v>
      </c>
      <c r="C202" s="2" t="s">
        <v>5</v>
      </c>
      <c r="D202" s="2" t="s">
        <v>16</v>
      </c>
      <c r="E202" s="3">
        <v>44532</v>
      </c>
      <c r="F202" s="2" t="s">
        <v>25</v>
      </c>
      <c r="G202" s="2" t="s">
        <v>27</v>
      </c>
      <c r="H202" s="2" t="s">
        <v>28</v>
      </c>
      <c r="I202" s="2">
        <v>0</v>
      </c>
      <c r="J202" s="2">
        <v>1445.3</v>
      </c>
      <c r="K202" s="2">
        <v>1445.3</v>
      </c>
      <c r="L202" s="2" t="s">
        <v>41</v>
      </c>
      <c r="M202" s="5" t="s">
        <v>53</v>
      </c>
    </row>
    <row r="203" spans="1:13" x14ac:dyDescent="0.35">
      <c r="A203" s="4">
        <v>522424</v>
      </c>
      <c r="B203" s="2">
        <v>1516743556</v>
      </c>
      <c r="C203" s="2" t="s">
        <v>5</v>
      </c>
      <c r="D203" s="2" t="s">
        <v>19</v>
      </c>
      <c r="E203" s="3">
        <v>44680</v>
      </c>
      <c r="F203" s="2" t="s">
        <v>25</v>
      </c>
      <c r="G203" s="2" t="s">
        <v>22</v>
      </c>
      <c r="H203" s="2" t="s">
        <v>33</v>
      </c>
      <c r="I203" s="2">
        <v>179.43</v>
      </c>
      <c r="J203" s="2">
        <v>4155.63</v>
      </c>
      <c r="K203" s="2">
        <v>3976.2</v>
      </c>
      <c r="L203" s="2" t="s">
        <v>55</v>
      </c>
      <c r="M203" s="5" t="s">
        <v>56</v>
      </c>
    </row>
    <row r="204" spans="1:13" x14ac:dyDescent="0.35">
      <c r="A204" s="4">
        <v>217314</v>
      </c>
      <c r="B204" s="2">
        <v>5888058454</v>
      </c>
      <c r="C204" s="2" t="s">
        <v>5</v>
      </c>
      <c r="D204" s="2" t="s">
        <v>18</v>
      </c>
      <c r="E204" s="3">
        <v>43656</v>
      </c>
      <c r="F204" s="2" t="s">
        <v>26</v>
      </c>
      <c r="G204" s="2" t="s">
        <v>27</v>
      </c>
      <c r="H204" s="2" t="s">
        <v>28</v>
      </c>
      <c r="I204" s="2">
        <v>0</v>
      </c>
      <c r="J204" s="2">
        <v>5142.6899999999996</v>
      </c>
      <c r="K204" s="2">
        <v>5142.6899999999996</v>
      </c>
      <c r="L204" s="2" t="s">
        <v>45</v>
      </c>
      <c r="M204" s="5" t="s">
        <v>54</v>
      </c>
    </row>
    <row r="205" spans="1:13" x14ac:dyDescent="0.35">
      <c r="A205" s="4">
        <v>528736</v>
      </c>
      <c r="B205" s="2">
        <v>9412010808</v>
      </c>
      <c r="C205" s="2" t="s">
        <v>3</v>
      </c>
      <c r="D205" s="2" t="s">
        <v>18</v>
      </c>
      <c r="E205" s="3">
        <v>45525</v>
      </c>
      <c r="F205" s="2" t="s">
        <v>35</v>
      </c>
      <c r="G205" s="2" t="s">
        <v>22</v>
      </c>
      <c r="H205" s="2" t="s">
        <v>23</v>
      </c>
      <c r="I205" s="2">
        <v>73.62</v>
      </c>
      <c r="J205" s="2">
        <v>2693.14</v>
      </c>
      <c r="K205" s="2">
        <v>2619.52</v>
      </c>
      <c r="L205" s="2" t="s">
        <v>41</v>
      </c>
      <c r="M205" s="5" t="s">
        <v>38</v>
      </c>
    </row>
    <row r="206" spans="1:13" x14ac:dyDescent="0.35">
      <c r="A206" s="4">
        <v>399941</v>
      </c>
      <c r="B206" s="2">
        <v>7732286604</v>
      </c>
      <c r="C206" s="2" t="s">
        <v>3</v>
      </c>
      <c r="D206" s="2" t="s">
        <v>16</v>
      </c>
      <c r="E206" s="3">
        <v>44568</v>
      </c>
      <c r="F206" s="2" t="s">
        <v>34</v>
      </c>
      <c r="G206" s="2" t="s">
        <v>27</v>
      </c>
      <c r="H206" s="2" t="s">
        <v>28</v>
      </c>
      <c r="I206" s="2">
        <v>0</v>
      </c>
      <c r="J206" s="2">
        <v>3432.61</v>
      </c>
      <c r="K206" s="2">
        <v>3432.61</v>
      </c>
      <c r="L206" s="2" t="s">
        <v>37</v>
      </c>
      <c r="M206" s="5" t="s">
        <v>52</v>
      </c>
    </row>
    <row r="207" spans="1:13" x14ac:dyDescent="0.35">
      <c r="A207" s="4">
        <v>204574</v>
      </c>
      <c r="B207" s="2">
        <v>9284172847</v>
      </c>
      <c r="C207" s="2" t="s">
        <v>4</v>
      </c>
      <c r="D207" s="2" t="s">
        <v>18</v>
      </c>
      <c r="E207" s="3">
        <v>44068</v>
      </c>
      <c r="F207" s="2" t="s">
        <v>21</v>
      </c>
      <c r="G207" s="2" t="s">
        <v>22</v>
      </c>
      <c r="H207" s="2" t="s">
        <v>23</v>
      </c>
      <c r="I207" s="2">
        <v>154.5</v>
      </c>
      <c r="J207" s="2">
        <v>3919.26</v>
      </c>
      <c r="K207" s="2">
        <v>3764.76</v>
      </c>
      <c r="L207" s="2" t="s">
        <v>55</v>
      </c>
      <c r="M207" s="5" t="s">
        <v>49</v>
      </c>
    </row>
    <row r="208" spans="1:13" x14ac:dyDescent="0.35">
      <c r="A208" s="4">
        <v>632280</v>
      </c>
      <c r="B208" s="2">
        <v>3886938847</v>
      </c>
      <c r="C208" s="2" t="s">
        <v>5</v>
      </c>
      <c r="D208" s="2" t="s">
        <v>18</v>
      </c>
      <c r="E208" s="3">
        <v>45037</v>
      </c>
      <c r="F208" s="2" t="s">
        <v>21</v>
      </c>
      <c r="G208" s="2" t="s">
        <v>27</v>
      </c>
      <c r="H208" s="2" t="s">
        <v>28</v>
      </c>
      <c r="I208" s="2">
        <v>0</v>
      </c>
      <c r="J208" s="2">
        <v>4765.93</v>
      </c>
      <c r="K208" s="2">
        <v>4765.93</v>
      </c>
      <c r="L208" s="2" t="s">
        <v>43</v>
      </c>
      <c r="M208" s="5" t="s">
        <v>52</v>
      </c>
    </row>
    <row r="209" spans="1:13" x14ac:dyDescent="0.35">
      <c r="A209" s="4">
        <v>898963</v>
      </c>
      <c r="B209" s="2">
        <v>4289582708</v>
      </c>
      <c r="C209" s="2" t="s">
        <v>5</v>
      </c>
      <c r="D209" s="2" t="s">
        <v>19</v>
      </c>
      <c r="E209" s="3">
        <v>45206</v>
      </c>
      <c r="F209" s="2" t="s">
        <v>5</v>
      </c>
      <c r="G209" s="2" t="s">
        <v>22</v>
      </c>
      <c r="H209" s="2" t="s">
        <v>29</v>
      </c>
      <c r="I209" s="2">
        <v>200.77</v>
      </c>
      <c r="J209" s="2">
        <v>2541.88</v>
      </c>
      <c r="K209" s="2">
        <v>2341.11</v>
      </c>
      <c r="L209" s="2" t="s">
        <v>42</v>
      </c>
      <c r="M209" s="5" t="s">
        <v>51</v>
      </c>
    </row>
    <row r="210" spans="1:13" x14ac:dyDescent="0.35">
      <c r="A210" s="4">
        <v>693054</v>
      </c>
      <c r="B210" s="2">
        <v>9056568565</v>
      </c>
      <c r="C210" s="2" t="s">
        <v>4</v>
      </c>
      <c r="D210" s="2" t="s">
        <v>16</v>
      </c>
      <c r="E210" s="3">
        <v>45256</v>
      </c>
      <c r="F210" s="2" t="s">
        <v>32</v>
      </c>
      <c r="G210" s="2" t="s">
        <v>22</v>
      </c>
      <c r="H210" s="2" t="s">
        <v>24</v>
      </c>
      <c r="I210" s="2">
        <v>379</v>
      </c>
      <c r="J210" s="2">
        <v>5138.92</v>
      </c>
      <c r="K210" s="2">
        <v>4759.92</v>
      </c>
      <c r="L210" s="2" t="s">
        <v>37</v>
      </c>
      <c r="M210" s="5" t="s">
        <v>40</v>
      </c>
    </row>
    <row r="211" spans="1:13" x14ac:dyDescent="0.35">
      <c r="A211" s="4">
        <v>919304</v>
      </c>
      <c r="B211" s="2">
        <v>5057274399</v>
      </c>
      <c r="C211" s="2" t="s">
        <v>3</v>
      </c>
      <c r="D211" s="2" t="s">
        <v>16</v>
      </c>
      <c r="E211" s="3">
        <v>44779</v>
      </c>
      <c r="F211" s="2" t="s">
        <v>25</v>
      </c>
      <c r="G211" s="2" t="s">
        <v>27</v>
      </c>
      <c r="H211" s="2" t="s">
        <v>28</v>
      </c>
      <c r="I211" s="2">
        <v>0</v>
      </c>
      <c r="J211" s="2">
        <v>4306.53</v>
      </c>
      <c r="K211" s="2">
        <v>4306.53</v>
      </c>
      <c r="L211" s="2" t="s">
        <v>37</v>
      </c>
      <c r="M211" s="5" t="s">
        <v>51</v>
      </c>
    </row>
    <row r="212" spans="1:13" x14ac:dyDescent="0.35">
      <c r="A212" s="4">
        <v>998812</v>
      </c>
      <c r="B212" s="2">
        <v>4015725736</v>
      </c>
      <c r="C212" s="2" t="s">
        <v>3</v>
      </c>
      <c r="D212" s="2" t="s">
        <v>17</v>
      </c>
      <c r="E212" s="3">
        <v>45097</v>
      </c>
      <c r="F212" s="2" t="s">
        <v>25</v>
      </c>
      <c r="G212" s="2" t="s">
        <v>22</v>
      </c>
      <c r="H212" s="2" t="s">
        <v>33</v>
      </c>
      <c r="I212" s="2">
        <v>222.61</v>
      </c>
      <c r="J212" s="2">
        <v>2502</v>
      </c>
      <c r="K212" s="2">
        <v>2279.39</v>
      </c>
      <c r="L212" s="2" t="s">
        <v>37</v>
      </c>
      <c r="M212" s="5" t="s">
        <v>39</v>
      </c>
    </row>
    <row r="213" spans="1:13" x14ac:dyDescent="0.35">
      <c r="A213" s="4">
        <v>815756</v>
      </c>
      <c r="B213" s="2">
        <v>6220579399</v>
      </c>
      <c r="C213" s="2" t="s">
        <v>5</v>
      </c>
      <c r="D213" s="2" t="s">
        <v>20</v>
      </c>
      <c r="E213" s="3">
        <v>44621</v>
      </c>
      <c r="F213" s="2" t="s">
        <v>25</v>
      </c>
      <c r="G213" s="2" t="s">
        <v>22</v>
      </c>
      <c r="H213" s="2" t="s">
        <v>33</v>
      </c>
      <c r="I213" s="2">
        <v>103.2</v>
      </c>
      <c r="J213" s="2">
        <v>1695.34</v>
      </c>
      <c r="K213" s="2">
        <v>1592.14</v>
      </c>
      <c r="L213" s="2" t="s">
        <v>45</v>
      </c>
      <c r="M213" s="5" t="s">
        <v>38</v>
      </c>
    </row>
    <row r="214" spans="1:13" x14ac:dyDescent="0.35">
      <c r="A214" s="4">
        <v>407914</v>
      </c>
      <c r="B214" s="2">
        <v>4721472104</v>
      </c>
      <c r="C214" s="2" t="s">
        <v>5</v>
      </c>
      <c r="D214" s="2" t="s">
        <v>19</v>
      </c>
      <c r="E214" s="3">
        <v>43895</v>
      </c>
      <c r="F214" s="2" t="s">
        <v>30</v>
      </c>
      <c r="G214" s="2" t="s">
        <v>27</v>
      </c>
      <c r="H214" s="2" t="s">
        <v>28</v>
      </c>
      <c r="I214" s="2">
        <v>0</v>
      </c>
      <c r="J214" s="2">
        <v>2029.22</v>
      </c>
      <c r="K214" s="2">
        <v>2029.22</v>
      </c>
      <c r="L214" s="2" t="s">
        <v>43</v>
      </c>
      <c r="M214" s="5" t="s">
        <v>38</v>
      </c>
    </row>
    <row r="215" spans="1:13" x14ac:dyDescent="0.35">
      <c r="A215" s="4">
        <v>654654</v>
      </c>
      <c r="B215" s="2">
        <v>5768474727</v>
      </c>
      <c r="C215" s="2" t="s">
        <v>3</v>
      </c>
      <c r="D215" s="2" t="s">
        <v>16</v>
      </c>
      <c r="E215" s="3">
        <v>45144</v>
      </c>
      <c r="F215" s="2" t="s">
        <v>21</v>
      </c>
      <c r="G215" s="2" t="s">
        <v>27</v>
      </c>
      <c r="H215" s="2" t="s">
        <v>28</v>
      </c>
      <c r="I215" s="2">
        <v>0</v>
      </c>
      <c r="J215" s="2">
        <v>3838.76</v>
      </c>
      <c r="K215" s="2">
        <v>3838.76</v>
      </c>
      <c r="L215" s="2" t="s">
        <v>37</v>
      </c>
      <c r="M215" s="5" t="s">
        <v>49</v>
      </c>
    </row>
    <row r="216" spans="1:13" x14ac:dyDescent="0.35">
      <c r="A216" s="4">
        <v>723803</v>
      </c>
      <c r="B216" s="2">
        <v>8115657734</v>
      </c>
      <c r="C216" s="2" t="s">
        <v>5</v>
      </c>
      <c r="D216" s="2" t="s">
        <v>19</v>
      </c>
      <c r="E216" s="3">
        <v>43534</v>
      </c>
      <c r="F216" s="2" t="s">
        <v>32</v>
      </c>
      <c r="G216" s="2" t="s">
        <v>22</v>
      </c>
      <c r="H216" s="2" t="s">
        <v>24</v>
      </c>
      <c r="I216" s="2">
        <v>287.68</v>
      </c>
      <c r="J216" s="2">
        <v>2095.13</v>
      </c>
      <c r="K216" s="2">
        <v>1807.45</v>
      </c>
      <c r="L216" s="2" t="s">
        <v>50</v>
      </c>
      <c r="M216" s="5" t="s">
        <v>38</v>
      </c>
    </row>
    <row r="217" spans="1:13" x14ac:dyDescent="0.35">
      <c r="A217" s="4">
        <v>262241</v>
      </c>
      <c r="B217" s="2">
        <v>1799063485</v>
      </c>
      <c r="C217" s="2" t="s">
        <v>3</v>
      </c>
      <c r="D217" s="2" t="s">
        <v>18</v>
      </c>
      <c r="E217" s="3">
        <v>44336</v>
      </c>
      <c r="F217" s="2" t="s">
        <v>32</v>
      </c>
      <c r="G217" s="2" t="s">
        <v>22</v>
      </c>
      <c r="H217" s="2" t="s">
        <v>24</v>
      </c>
      <c r="I217" s="2">
        <v>284.14999999999998</v>
      </c>
      <c r="J217" s="2">
        <v>785.14</v>
      </c>
      <c r="K217" s="2">
        <v>500.99</v>
      </c>
      <c r="L217" s="2" t="s">
        <v>42</v>
      </c>
      <c r="M217" s="5" t="s">
        <v>39</v>
      </c>
    </row>
    <row r="218" spans="1:13" x14ac:dyDescent="0.35">
      <c r="A218" s="4">
        <v>391983</v>
      </c>
      <c r="B218" s="2">
        <v>7414223131</v>
      </c>
      <c r="C218" s="2" t="s">
        <v>5</v>
      </c>
      <c r="D218" s="2" t="s">
        <v>16</v>
      </c>
      <c r="E218" s="3">
        <v>45436</v>
      </c>
      <c r="F218" s="2" t="s">
        <v>25</v>
      </c>
      <c r="G218" s="2" t="s">
        <v>22</v>
      </c>
      <c r="H218" s="2" t="s">
        <v>24</v>
      </c>
      <c r="I218" s="2">
        <v>255.56</v>
      </c>
      <c r="J218" s="2">
        <v>537.53</v>
      </c>
      <c r="K218" s="2">
        <v>281.97000000000003</v>
      </c>
      <c r="L218" s="2" t="s">
        <v>43</v>
      </c>
      <c r="M218" s="5" t="s">
        <v>51</v>
      </c>
    </row>
    <row r="219" spans="1:13" x14ac:dyDescent="0.35">
      <c r="A219" s="4">
        <v>291768</v>
      </c>
      <c r="B219" s="2">
        <v>4002316191</v>
      </c>
      <c r="C219" s="2" t="s">
        <v>5</v>
      </c>
      <c r="D219" s="2" t="s">
        <v>18</v>
      </c>
      <c r="E219" s="3">
        <v>44618</v>
      </c>
      <c r="F219" s="2" t="s">
        <v>25</v>
      </c>
      <c r="G219" s="2" t="s">
        <v>22</v>
      </c>
      <c r="H219" s="2" t="s">
        <v>23</v>
      </c>
      <c r="I219" s="2">
        <v>70.38</v>
      </c>
      <c r="J219" s="2">
        <v>1780</v>
      </c>
      <c r="K219" s="2">
        <v>1709.62</v>
      </c>
      <c r="L219" s="2" t="s">
        <v>37</v>
      </c>
      <c r="M219" s="5" t="s">
        <v>51</v>
      </c>
    </row>
    <row r="220" spans="1:13" x14ac:dyDescent="0.35">
      <c r="A220" s="4">
        <v>502594</v>
      </c>
      <c r="B220" s="2">
        <v>9206427606</v>
      </c>
      <c r="C220" s="2" t="s">
        <v>4</v>
      </c>
      <c r="D220" s="2" t="s">
        <v>17</v>
      </c>
      <c r="E220" s="3">
        <v>45258</v>
      </c>
      <c r="F220" s="2" t="s">
        <v>21</v>
      </c>
      <c r="G220" s="2" t="s">
        <v>27</v>
      </c>
      <c r="H220" s="2" t="s">
        <v>28</v>
      </c>
      <c r="I220" s="2">
        <v>0</v>
      </c>
      <c r="J220" s="2">
        <v>3327.48</v>
      </c>
      <c r="K220" s="2">
        <v>3327.48</v>
      </c>
      <c r="L220" s="2" t="s">
        <v>43</v>
      </c>
      <c r="M220" s="5" t="s">
        <v>39</v>
      </c>
    </row>
    <row r="221" spans="1:13" x14ac:dyDescent="0.35">
      <c r="A221" s="4">
        <v>152906</v>
      </c>
      <c r="B221" s="2">
        <v>4767633895</v>
      </c>
      <c r="C221" s="2" t="s">
        <v>5</v>
      </c>
      <c r="D221" s="2" t="s">
        <v>16</v>
      </c>
      <c r="E221" s="3">
        <v>44888</v>
      </c>
      <c r="F221" s="2" t="s">
        <v>5</v>
      </c>
      <c r="G221" s="2" t="s">
        <v>27</v>
      </c>
      <c r="H221" s="2" t="s">
        <v>28</v>
      </c>
      <c r="I221" s="2">
        <v>0</v>
      </c>
      <c r="J221" s="2">
        <v>3476.49</v>
      </c>
      <c r="K221" s="2">
        <v>3476.49</v>
      </c>
      <c r="L221" s="2" t="s">
        <v>41</v>
      </c>
      <c r="M221" s="5" t="s">
        <v>5</v>
      </c>
    </row>
    <row r="222" spans="1:13" x14ac:dyDescent="0.35">
      <c r="A222" s="4">
        <v>918946</v>
      </c>
      <c r="B222" s="2">
        <v>7527286842</v>
      </c>
      <c r="C222" s="2" t="s">
        <v>4</v>
      </c>
      <c r="D222" s="2" t="s">
        <v>16</v>
      </c>
      <c r="E222" s="3">
        <v>43888</v>
      </c>
      <c r="F222" s="2" t="s">
        <v>26</v>
      </c>
      <c r="G222" s="2" t="s">
        <v>27</v>
      </c>
      <c r="H222" s="2" t="s">
        <v>28</v>
      </c>
      <c r="I222" s="2">
        <v>0</v>
      </c>
      <c r="J222" s="2">
        <v>647.39</v>
      </c>
      <c r="K222" s="2">
        <v>647.39</v>
      </c>
      <c r="L222" s="2" t="s">
        <v>45</v>
      </c>
      <c r="M222" s="5" t="s">
        <v>38</v>
      </c>
    </row>
    <row r="223" spans="1:13" x14ac:dyDescent="0.35">
      <c r="A223" s="4">
        <v>677219</v>
      </c>
      <c r="B223" s="2">
        <v>2971198743</v>
      </c>
      <c r="C223" s="2" t="s">
        <v>4</v>
      </c>
      <c r="D223" s="2" t="s">
        <v>19</v>
      </c>
      <c r="E223" s="3">
        <v>44360</v>
      </c>
      <c r="F223" s="2" t="s">
        <v>21</v>
      </c>
      <c r="G223" s="2" t="s">
        <v>27</v>
      </c>
      <c r="H223" s="2" t="s">
        <v>28</v>
      </c>
      <c r="I223" s="2">
        <v>0</v>
      </c>
      <c r="J223" s="2">
        <v>2371.61</v>
      </c>
      <c r="K223" s="2">
        <v>2371.61</v>
      </c>
      <c r="L223" s="2" t="s">
        <v>55</v>
      </c>
      <c r="M223" s="5" t="s">
        <v>44</v>
      </c>
    </row>
    <row r="224" spans="1:13" x14ac:dyDescent="0.35">
      <c r="A224" s="4">
        <v>991207</v>
      </c>
      <c r="B224" s="2">
        <v>1575329655</v>
      </c>
      <c r="C224" s="2" t="s">
        <v>4</v>
      </c>
      <c r="D224" s="2" t="s">
        <v>16</v>
      </c>
      <c r="E224" s="3">
        <v>44636</v>
      </c>
      <c r="F224" s="2" t="s">
        <v>25</v>
      </c>
      <c r="G224" s="2" t="s">
        <v>22</v>
      </c>
      <c r="H224" s="2" t="s">
        <v>29</v>
      </c>
      <c r="I224" s="2">
        <v>376.26</v>
      </c>
      <c r="J224" s="2">
        <v>761.8</v>
      </c>
      <c r="K224" s="2">
        <v>385.54</v>
      </c>
      <c r="L224" s="2" t="s">
        <v>37</v>
      </c>
      <c r="M224" s="5" t="s">
        <v>51</v>
      </c>
    </row>
    <row r="225" spans="1:13" x14ac:dyDescent="0.35">
      <c r="A225" s="4">
        <v>942691</v>
      </c>
      <c r="B225" s="2">
        <v>2043743521</v>
      </c>
      <c r="C225" s="2" t="s">
        <v>4</v>
      </c>
      <c r="D225" s="2" t="s">
        <v>18</v>
      </c>
      <c r="E225" s="3">
        <v>44964</v>
      </c>
      <c r="F225" s="2" t="s">
        <v>36</v>
      </c>
      <c r="G225" s="2" t="s">
        <v>22</v>
      </c>
      <c r="H225" s="2" t="s">
        <v>24</v>
      </c>
      <c r="I225" s="2">
        <v>352.41</v>
      </c>
      <c r="J225" s="2">
        <v>4730.6499999999996</v>
      </c>
      <c r="K225" s="2">
        <v>4378.24</v>
      </c>
      <c r="L225" s="2" t="s">
        <v>43</v>
      </c>
      <c r="M225" s="5" t="s">
        <v>51</v>
      </c>
    </row>
    <row r="226" spans="1:13" x14ac:dyDescent="0.35">
      <c r="A226" s="4">
        <v>917919</v>
      </c>
      <c r="B226" s="2">
        <v>4783140047</v>
      </c>
      <c r="C226" s="2" t="s">
        <v>5</v>
      </c>
      <c r="D226" s="2" t="s">
        <v>18</v>
      </c>
      <c r="E226" s="3">
        <v>44138</v>
      </c>
      <c r="F226" s="2" t="s">
        <v>25</v>
      </c>
      <c r="G226" s="2" t="s">
        <v>22</v>
      </c>
      <c r="H226" s="2" t="s">
        <v>33</v>
      </c>
      <c r="I226" s="2">
        <v>497.07</v>
      </c>
      <c r="J226" s="2">
        <v>1282.47</v>
      </c>
      <c r="K226" s="2">
        <v>785.4</v>
      </c>
      <c r="L226" s="2" t="s">
        <v>37</v>
      </c>
      <c r="M226" s="5" t="s">
        <v>48</v>
      </c>
    </row>
    <row r="227" spans="1:13" x14ac:dyDescent="0.35">
      <c r="A227" s="4">
        <v>778471</v>
      </c>
      <c r="B227" s="2">
        <v>6453432455</v>
      </c>
      <c r="C227" s="2" t="s">
        <v>3</v>
      </c>
      <c r="D227" s="2" t="s">
        <v>18</v>
      </c>
      <c r="E227" s="3">
        <v>43955</v>
      </c>
      <c r="F227" s="2" t="s">
        <v>35</v>
      </c>
      <c r="G227" s="2" t="s">
        <v>22</v>
      </c>
      <c r="H227" s="2" t="s">
        <v>29</v>
      </c>
      <c r="I227" s="2">
        <v>284.56</v>
      </c>
      <c r="J227" s="2">
        <v>2263.56</v>
      </c>
      <c r="K227" s="2">
        <v>1979</v>
      </c>
      <c r="L227" s="2" t="s">
        <v>45</v>
      </c>
      <c r="M227" s="5" t="s">
        <v>40</v>
      </c>
    </row>
    <row r="228" spans="1:13" x14ac:dyDescent="0.35">
      <c r="A228" s="4">
        <v>726882</v>
      </c>
      <c r="B228" s="2">
        <v>6990223148</v>
      </c>
      <c r="C228" s="2" t="s">
        <v>3</v>
      </c>
      <c r="D228" s="2" t="s">
        <v>19</v>
      </c>
      <c r="E228" s="3">
        <v>44970</v>
      </c>
      <c r="F228" s="2" t="s">
        <v>36</v>
      </c>
      <c r="G228" s="2" t="s">
        <v>27</v>
      </c>
      <c r="H228" s="2" t="s">
        <v>28</v>
      </c>
      <c r="I228" s="2">
        <v>0</v>
      </c>
      <c r="J228" s="2">
        <v>2902.8</v>
      </c>
      <c r="K228" s="2">
        <v>2902.8</v>
      </c>
      <c r="L228" s="2" t="s">
        <v>43</v>
      </c>
      <c r="M228" s="5" t="s">
        <v>49</v>
      </c>
    </row>
    <row r="229" spans="1:13" x14ac:dyDescent="0.35">
      <c r="A229" s="4">
        <v>182868</v>
      </c>
      <c r="B229" s="2">
        <v>2912407355</v>
      </c>
      <c r="C229" s="2" t="s">
        <v>5</v>
      </c>
      <c r="D229" s="2" t="s">
        <v>19</v>
      </c>
      <c r="E229" s="3">
        <v>44956</v>
      </c>
      <c r="F229" s="2" t="s">
        <v>36</v>
      </c>
      <c r="G229" s="2" t="s">
        <v>27</v>
      </c>
      <c r="H229" s="2" t="s">
        <v>28</v>
      </c>
      <c r="I229" s="2">
        <v>0</v>
      </c>
      <c r="J229" s="2">
        <v>2300.46</v>
      </c>
      <c r="K229" s="2">
        <v>2300.46</v>
      </c>
      <c r="L229" s="2" t="s">
        <v>45</v>
      </c>
      <c r="M229" s="5" t="s">
        <v>40</v>
      </c>
    </row>
    <row r="230" spans="1:13" x14ac:dyDescent="0.35">
      <c r="A230" s="4">
        <v>517848</v>
      </c>
      <c r="B230" s="2">
        <v>6141635751</v>
      </c>
      <c r="C230" s="2" t="s">
        <v>4</v>
      </c>
      <c r="D230" s="2" t="s">
        <v>19</v>
      </c>
      <c r="E230" s="3">
        <v>44235</v>
      </c>
      <c r="F230" s="2" t="s">
        <v>34</v>
      </c>
      <c r="G230" s="2" t="s">
        <v>22</v>
      </c>
      <c r="H230" s="2" t="s">
        <v>31</v>
      </c>
      <c r="I230" s="2">
        <v>461.63</v>
      </c>
      <c r="J230" s="2">
        <v>3165.33</v>
      </c>
      <c r="K230" s="2">
        <v>2703.7</v>
      </c>
      <c r="L230" s="2" t="s">
        <v>41</v>
      </c>
      <c r="M230" s="5" t="s">
        <v>40</v>
      </c>
    </row>
    <row r="231" spans="1:13" x14ac:dyDescent="0.35">
      <c r="A231" s="4">
        <v>163238</v>
      </c>
      <c r="B231" s="2">
        <v>3881503651</v>
      </c>
      <c r="C231" s="2" t="s">
        <v>4</v>
      </c>
      <c r="D231" s="2" t="s">
        <v>18</v>
      </c>
      <c r="E231" s="3">
        <v>45343</v>
      </c>
      <c r="F231" s="2" t="s">
        <v>21</v>
      </c>
      <c r="G231" s="2" t="s">
        <v>27</v>
      </c>
      <c r="H231" s="2" t="s">
        <v>28</v>
      </c>
      <c r="I231" s="2">
        <v>0</v>
      </c>
      <c r="J231" s="2">
        <v>4524.76</v>
      </c>
      <c r="K231" s="2">
        <v>4524.76</v>
      </c>
      <c r="L231" s="2" t="s">
        <v>37</v>
      </c>
      <c r="M231" s="5" t="s">
        <v>49</v>
      </c>
    </row>
    <row r="232" spans="1:13" x14ac:dyDescent="0.35">
      <c r="A232" s="4">
        <v>768507</v>
      </c>
      <c r="B232" s="2">
        <v>2831109959</v>
      </c>
      <c r="C232" s="2" t="s">
        <v>4</v>
      </c>
      <c r="D232" s="2" t="s">
        <v>16</v>
      </c>
      <c r="E232" s="3">
        <v>43506</v>
      </c>
      <c r="F232" s="2" t="s">
        <v>32</v>
      </c>
      <c r="G232" s="2" t="s">
        <v>22</v>
      </c>
      <c r="H232" s="2" t="s">
        <v>29</v>
      </c>
      <c r="I232" s="2">
        <v>134.66999999999999</v>
      </c>
      <c r="J232" s="2">
        <v>4228.6499999999996</v>
      </c>
      <c r="K232" s="2">
        <v>4093.98</v>
      </c>
      <c r="L232" s="2" t="s">
        <v>37</v>
      </c>
      <c r="M232" s="5" t="s">
        <v>49</v>
      </c>
    </row>
    <row r="233" spans="1:13" x14ac:dyDescent="0.35">
      <c r="A233" s="4">
        <v>659358</v>
      </c>
      <c r="B233" s="2">
        <v>1484574281</v>
      </c>
      <c r="C233" s="2" t="s">
        <v>3</v>
      </c>
      <c r="D233" s="2" t="s">
        <v>18</v>
      </c>
      <c r="E233" s="3">
        <v>44157</v>
      </c>
      <c r="F233" s="2" t="s">
        <v>21</v>
      </c>
      <c r="G233" s="2" t="s">
        <v>22</v>
      </c>
      <c r="H233" s="2" t="s">
        <v>29</v>
      </c>
      <c r="I233" s="2">
        <v>482.93</v>
      </c>
      <c r="J233" s="2">
        <v>981.41</v>
      </c>
      <c r="K233" s="2">
        <v>498.48</v>
      </c>
      <c r="L233" s="2" t="s">
        <v>42</v>
      </c>
      <c r="M233" s="5" t="s">
        <v>52</v>
      </c>
    </row>
    <row r="234" spans="1:13" x14ac:dyDescent="0.35">
      <c r="A234" s="4">
        <v>901054</v>
      </c>
      <c r="B234" s="2">
        <v>4545243483</v>
      </c>
      <c r="C234" s="2" t="s">
        <v>5</v>
      </c>
      <c r="D234" s="2" t="s">
        <v>16</v>
      </c>
      <c r="E234" s="3">
        <v>43811</v>
      </c>
      <c r="F234" s="2" t="s">
        <v>26</v>
      </c>
      <c r="G234" s="2" t="s">
        <v>27</v>
      </c>
      <c r="H234" s="2" t="s">
        <v>28</v>
      </c>
      <c r="I234" s="2">
        <v>0</v>
      </c>
      <c r="J234" s="2">
        <v>5475.74</v>
      </c>
      <c r="K234" s="2">
        <v>5475.74</v>
      </c>
      <c r="L234" s="2" t="s">
        <v>45</v>
      </c>
      <c r="M234" s="5" t="s">
        <v>40</v>
      </c>
    </row>
    <row r="235" spans="1:13" x14ac:dyDescent="0.35">
      <c r="A235" s="4">
        <v>319226</v>
      </c>
      <c r="B235" s="2">
        <v>4612117088</v>
      </c>
      <c r="C235" s="2" t="s">
        <v>4</v>
      </c>
      <c r="D235" s="2" t="s">
        <v>16</v>
      </c>
      <c r="E235" s="3">
        <v>45336</v>
      </c>
      <c r="F235" s="2" t="s">
        <v>35</v>
      </c>
      <c r="G235" s="2" t="s">
        <v>27</v>
      </c>
      <c r="H235" s="2" t="s">
        <v>28</v>
      </c>
      <c r="I235" s="2">
        <v>0</v>
      </c>
      <c r="J235" s="2">
        <v>667.52</v>
      </c>
      <c r="K235" s="2">
        <v>667.52</v>
      </c>
      <c r="L235" s="2" t="s">
        <v>37</v>
      </c>
      <c r="M235" s="5" t="s">
        <v>48</v>
      </c>
    </row>
    <row r="236" spans="1:13" x14ac:dyDescent="0.35">
      <c r="A236" s="4">
        <v>540536</v>
      </c>
      <c r="B236" s="2">
        <v>9238201923</v>
      </c>
      <c r="C236" s="2" t="s">
        <v>5</v>
      </c>
      <c r="D236" s="2" t="s">
        <v>18</v>
      </c>
      <c r="E236" s="3">
        <v>44120</v>
      </c>
      <c r="F236" s="2" t="s">
        <v>25</v>
      </c>
      <c r="G236" s="2" t="s">
        <v>22</v>
      </c>
      <c r="H236" s="2" t="s">
        <v>31</v>
      </c>
      <c r="I236" s="2">
        <v>57.3</v>
      </c>
      <c r="J236" s="2">
        <v>3272.76</v>
      </c>
      <c r="K236" s="2">
        <v>3215.46</v>
      </c>
      <c r="L236" s="2" t="s">
        <v>37</v>
      </c>
      <c r="M236" s="5" t="s">
        <v>51</v>
      </c>
    </row>
    <row r="237" spans="1:13" x14ac:dyDescent="0.35">
      <c r="A237" s="4">
        <v>676010</v>
      </c>
      <c r="B237" s="2">
        <v>3332755849</v>
      </c>
      <c r="C237" s="2" t="s">
        <v>4</v>
      </c>
      <c r="D237" s="2" t="s">
        <v>18</v>
      </c>
      <c r="E237" s="3">
        <v>44363</v>
      </c>
      <c r="F237" s="2" t="s">
        <v>25</v>
      </c>
      <c r="G237" s="2" t="s">
        <v>22</v>
      </c>
      <c r="H237" s="2" t="s">
        <v>24</v>
      </c>
      <c r="I237" s="2">
        <v>344.57</v>
      </c>
      <c r="J237" s="2">
        <v>3436.79</v>
      </c>
      <c r="K237" s="2">
        <v>3092.22</v>
      </c>
      <c r="L237" s="2" t="s">
        <v>37</v>
      </c>
      <c r="M237" s="5" t="s">
        <v>40</v>
      </c>
    </row>
    <row r="238" spans="1:13" x14ac:dyDescent="0.35">
      <c r="A238" s="4">
        <v>188771</v>
      </c>
      <c r="B238" s="2">
        <v>6207717733</v>
      </c>
      <c r="C238" s="2" t="s">
        <v>5</v>
      </c>
      <c r="D238" s="2" t="s">
        <v>16</v>
      </c>
      <c r="E238" s="3">
        <v>45129</v>
      </c>
      <c r="F238" s="2" t="s">
        <v>25</v>
      </c>
      <c r="G238" s="2" t="s">
        <v>27</v>
      </c>
      <c r="H238" s="2" t="s">
        <v>28</v>
      </c>
      <c r="I238" s="2">
        <v>0</v>
      </c>
      <c r="J238" s="2">
        <v>1048.6199999999999</v>
      </c>
      <c r="K238" s="2">
        <v>1048.6199999999999</v>
      </c>
      <c r="L238" s="2" t="s">
        <v>45</v>
      </c>
      <c r="M238" s="5" t="s">
        <v>39</v>
      </c>
    </row>
    <row r="239" spans="1:13" x14ac:dyDescent="0.35">
      <c r="A239" s="4">
        <v>325391</v>
      </c>
      <c r="B239" s="2">
        <v>2636492787</v>
      </c>
      <c r="C239" s="2" t="s">
        <v>4</v>
      </c>
      <c r="D239" s="2" t="s">
        <v>16</v>
      </c>
      <c r="E239" s="3">
        <v>45310</v>
      </c>
      <c r="F239" s="2" t="s">
        <v>30</v>
      </c>
      <c r="G239" s="2" t="s">
        <v>22</v>
      </c>
      <c r="H239" s="2" t="s">
        <v>31</v>
      </c>
      <c r="I239" s="2">
        <v>83.45</v>
      </c>
      <c r="J239" s="2">
        <v>4631.9399999999996</v>
      </c>
      <c r="K239" s="2">
        <v>4548.49</v>
      </c>
      <c r="L239" s="2" t="s">
        <v>41</v>
      </c>
      <c r="M239" s="5" t="s">
        <v>51</v>
      </c>
    </row>
    <row r="240" spans="1:13" x14ac:dyDescent="0.35">
      <c r="A240" s="4">
        <v>929179</v>
      </c>
      <c r="B240" s="2">
        <v>7036454899</v>
      </c>
      <c r="C240" s="2" t="s">
        <v>5</v>
      </c>
      <c r="D240" s="2" t="s">
        <v>18</v>
      </c>
      <c r="E240" s="3">
        <v>44171</v>
      </c>
      <c r="F240" s="2" t="s">
        <v>25</v>
      </c>
      <c r="G240" s="2" t="s">
        <v>22</v>
      </c>
      <c r="H240" s="2" t="s">
        <v>33</v>
      </c>
      <c r="I240" s="2">
        <v>255.2</v>
      </c>
      <c r="J240" s="2">
        <v>418.81</v>
      </c>
      <c r="K240" s="2">
        <v>163.61000000000001</v>
      </c>
      <c r="L240" s="2" t="s">
        <v>50</v>
      </c>
      <c r="M240" s="5" t="s">
        <v>44</v>
      </c>
    </row>
    <row r="241" spans="1:13" x14ac:dyDescent="0.35">
      <c r="A241" s="4">
        <v>678971</v>
      </c>
      <c r="B241" s="2">
        <v>3994931671</v>
      </c>
      <c r="C241" s="2" t="s">
        <v>4</v>
      </c>
      <c r="D241" s="2" t="s">
        <v>16</v>
      </c>
      <c r="E241" s="3">
        <v>44911</v>
      </c>
      <c r="F241" s="2" t="s">
        <v>21</v>
      </c>
      <c r="G241" s="2" t="s">
        <v>27</v>
      </c>
      <c r="H241" s="2" t="s">
        <v>28</v>
      </c>
      <c r="I241" s="2">
        <v>0</v>
      </c>
      <c r="J241" s="2">
        <v>4424.8100000000004</v>
      </c>
      <c r="K241" s="2">
        <v>4424.8100000000004</v>
      </c>
      <c r="L241" s="2" t="s">
        <v>41</v>
      </c>
      <c r="M241" s="5" t="s">
        <v>51</v>
      </c>
    </row>
    <row r="242" spans="1:13" x14ac:dyDescent="0.35">
      <c r="A242" s="4">
        <v>382014</v>
      </c>
      <c r="B242" s="2">
        <v>8203426392</v>
      </c>
      <c r="C242" s="2" t="s">
        <v>3</v>
      </c>
      <c r="D242" s="2" t="s">
        <v>19</v>
      </c>
      <c r="E242" s="3">
        <v>44616</v>
      </c>
      <c r="F242" s="2" t="s">
        <v>32</v>
      </c>
      <c r="G242" s="2" t="s">
        <v>22</v>
      </c>
      <c r="H242" s="2" t="s">
        <v>29</v>
      </c>
      <c r="I242" s="2">
        <v>285.97000000000003</v>
      </c>
      <c r="J242" s="2">
        <v>1289.03</v>
      </c>
      <c r="K242" s="2">
        <v>1003.06</v>
      </c>
      <c r="L242" s="2" t="s">
        <v>45</v>
      </c>
      <c r="M242" s="5" t="s">
        <v>52</v>
      </c>
    </row>
    <row r="243" spans="1:13" x14ac:dyDescent="0.35">
      <c r="A243" s="4">
        <v>326531</v>
      </c>
      <c r="B243" s="2">
        <v>9120290831</v>
      </c>
      <c r="C243" s="2" t="s">
        <v>3</v>
      </c>
      <c r="D243" s="2" t="s">
        <v>18</v>
      </c>
      <c r="E243" s="3">
        <v>43962</v>
      </c>
      <c r="F243" s="2" t="s">
        <v>25</v>
      </c>
      <c r="G243" s="2" t="s">
        <v>27</v>
      </c>
      <c r="H243" s="2" t="s">
        <v>28</v>
      </c>
      <c r="I243" s="2">
        <v>0</v>
      </c>
      <c r="J243" s="2">
        <v>3945.2</v>
      </c>
      <c r="K243" s="2">
        <v>3945.2</v>
      </c>
      <c r="L243" s="2" t="s">
        <v>47</v>
      </c>
      <c r="M243" s="5" t="s">
        <v>56</v>
      </c>
    </row>
    <row r="244" spans="1:13" x14ac:dyDescent="0.35">
      <c r="A244" s="4">
        <v>719914</v>
      </c>
      <c r="B244" s="2">
        <v>9693129072</v>
      </c>
      <c r="C244" s="2" t="s">
        <v>3</v>
      </c>
      <c r="D244" s="2" t="s">
        <v>17</v>
      </c>
      <c r="E244" s="3">
        <v>44878</v>
      </c>
      <c r="F244" s="2" t="s">
        <v>32</v>
      </c>
      <c r="G244" s="2" t="s">
        <v>22</v>
      </c>
      <c r="H244" s="2" t="s">
        <v>33</v>
      </c>
      <c r="I244" s="2">
        <v>220.67</v>
      </c>
      <c r="J244" s="2">
        <v>4231.75</v>
      </c>
      <c r="K244" s="2">
        <v>4011.08</v>
      </c>
      <c r="L244" s="2" t="s">
        <v>37</v>
      </c>
      <c r="M244" s="5" t="s">
        <v>49</v>
      </c>
    </row>
    <row r="245" spans="1:13" x14ac:dyDescent="0.35">
      <c r="A245" s="4">
        <v>968286</v>
      </c>
      <c r="B245" s="2">
        <v>9234426752</v>
      </c>
      <c r="C245" s="2" t="s">
        <v>4</v>
      </c>
      <c r="D245" s="2" t="s">
        <v>19</v>
      </c>
      <c r="E245" s="3">
        <v>44683</v>
      </c>
      <c r="F245" s="2" t="s">
        <v>26</v>
      </c>
      <c r="G245" s="2" t="s">
        <v>27</v>
      </c>
      <c r="H245" s="2" t="s">
        <v>28</v>
      </c>
      <c r="I245" s="2">
        <v>0</v>
      </c>
      <c r="J245" s="2">
        <v>2829.28</v>
      </c>
      <c r="K245" s="2">
        <v>2829.28</v>
      </c>
      <c r="L245" s="2" t="s">
        <v>37</v>
      </c>
      <c r="M245" s="5" t="s">
        <v>49</v>
      </c>
    </row>
    <row r="246" spans="1:13" x14ac:dyDescent="0.35">
      <c r="A246" s="4">
        <v>816586</v>
      </c>
      <c r="B246" s="2">
        <v>4581759746</v>
      </c>
      <c r="C246" s="2" t="s">
        <v>5</v>
      </c>
      <c r="D246" s="2" t="s">
        <v>19</v>
      </c>
      <c r="E246" s="3">
        <v>43991</v>
      </c>
      <c r="F246" s="2" t="s">
        <v>30</v>
      </c>
      <c r="G246" s="2" t="s">
        <v>27</v>
      </c>
      <c r="H246" s="2" t="s">
        <v>28</v>
      </c>
      <c r="I246" s="2">
        <v>0</v>
      </c>
      <c r="J246" s="2">
        <v>1614.95</v>
      </c>
      <c r="K246" s="2">
        <v>1614.95</v>
      </c>
      <c r="L246" s="2" t="s">
        <v>37</v>
      </c>
      <c r="M246" s="5" t="s">
        <v>38</v>
      </c>
    </row>
    <row r="247" spans="1:13" x14ac:dyDescent="0.35">
      <c r="A247" s="4">
        <v>918895</v>
      </c>
      <c r="B247" s="2">
        <v>4724110138</v>
      </c>
      <c r="C247" s="2" t="s">
        <v>5</v>
      </c>
      <c r="D247" s="2" t="s">
        <v>16</v>
      </c>
      <c r="E247" s="3">
        <v>44179</v>
      </c>
      <c r="F247" s="2" t="s">
        <v>21</v>
      </c>
      <c r="G247" s="2" t="s">
        <v>27</v>
      </c>
      <c r="H247" s="2" t="s">
        <v>28</v>
      </c>
      <c r="I247" s="2">
        <v>0</v>
      </c>
      <c r="J247" s="2">
        <v>332.13</v>
      </c>
      <c r="K247" s="2">
        <v>332.13</v>
      </c>
      <c r="L247" s="2" t="s">
        <v>41</v>
      </c>
      <c r="M247" s="5" t="s">
        <v>51</v>
      </c>
    </row>
    <row r="248" spans="1:13" x14ac:dyDescent="0.35">
      <c r="A248" s="4">
        <v>737600</v>
      </c>
      <c r="B248" s="2">
        <v>4724448033</v>
      </c>
      <c r="C248" s="2" t="s">
        <v>4</v>
      </c>
      <c r="D248" s="2" t="s">
        <v>16</v>
      </c>
      <c r="E248" s="3">
        <v>45450</v>
      </c>
      <c r="F248" s="2" t="s">
        <v>34</v>
      </c>
      <c r="G248" s="2" t="s">
        <v>22</v>
      </c>
      <c r="H248" s="2" t="s">
        <v>23</v>
      </c>
      <c r="I248" s="2">
        <v>305.01</v>
      </c>
      <c r="J248" s="2">
        <v>4803.53</v>
      </c>
      <c r="K248" s="2">
        <v>4498.5200000000004</v>
      </c>
      <c r="L248" s="2" t="s">
        <v>45</v>
      </c>
      <c r="M248" s="5" t="s">
        <v>51</v>
      </c>
    </row>
    <row r="249" spans="1:13" x14ac:dyDescent="0.35">
      <c r="A249" s="4">
        <v>957130</v>
      </c>
      <c r="B249" s="2">
        <v>4996589311</v>
      </c>
      <c r="C249" s="2" t="s">
        <v>3</v>
      </c>
      <c r="D249" s="2" t="s">
        <v>17</v>
      </c>
      <c r="E249" s="3">
        <v>44890</v>
      </c>
      <c r="F249" s="2" t="s">
        <v>34</v>
      </c>
      <c r="G249" s="2" t="s">
        <v>27</v>
      </c>
      <c r="H249" s="2" t="s">
        <v>28</v>
      </c>
      <c r="I249" s="2">
        <v>0</v>
      </c>
      <c r="J249" s="2">
        <v>613.59</v>
      </c>
      <c r="K249" s="2">
        <v>613.59</v>
      </c>
      <c r="L249" s="2" t="s">
        <v>37</v>
      </c>
      <c r="M249" s="5" t="s">
        <v>44</v>
      </c>
    </row>
    <row r="250" spans="1:13" x14ac:dyDescent="0.35">
      <c r="A250" s="4">
        <v>424356</v>
      </c>
      <c r="B250" s="2">
        <v>1003927406</v>
      </c>
      <c r="C250" s="2" t="s">
        <v>3</v>
      </c>
      <c r="D250" s="2" t="s">
        <v>16</v>
      </c>
      <c r="E250" s="3">
        <v>44063</v>
      </c>
      <c r="F250" s="2" t="s">
        <v>21</v>
      </c>
      <c r="G250" s="2" t="s">
        <v>27</v>
      </c>
      <c r="H250" s="2" t="s">
        <v>28</v>
      </c>
      <c r="I250" s="2">
        <v>0</v>
      </c>
      <c r="J250" s="2">
        <v>308.36</v>
      </c>
      <c r="K250" s="2">
        <v>308.36</v>
      </c>
      <c r="L250" s="2" t="s">
        <v>41</v>
      </c>
      <c r="M250" s="5" t="s">
        <v>49</v>
      </c>
    </row>
    <row r="251" spans="1:13" x14ac:dyDescent="0.35">
      <c r="A251" s="4">
        <v>566432</v>
      </c>
      <c r="B251" s="2">
        <v>9155807841</v>
      </c>
      <c r="C251" s="2" t="s">
        <v>5</v>
      </c>
      <c r="D251" s="2" t="s">
        <v>16</v>
      </c>
      <c r="E251" s="3">
        <v>44633</v>
      </c>
      <c r="F251" s="2" t="s">
        <v>25</v>
      </c>
      <c r="G251" s="2" t="s">
        <v>22</v>
      </c>
      <c r="H251" s="2" t="s">
        <v>23</v>
      </c>
      <c r="I251" s="2">
        <v>347.3</v>
      </c>
      <c r="J251" s="2">
        <v>617.94000000000005</v>
      </c>
      <c r="K251" s="2">
        <v>270.64</v>
      </c>
      <c r="L251" s="2" t="s">
        <v>37</v>
      </c>
      <c r="M251" s="5" t="s">
        <v>40</v>
      </c>
    </row>
    <row r="252" spans="1:13" x14ac:dyDescent="0.35">
      <c r="A252" s="4">
        <v>400189</v>
      </c>
      <c r="B252" s="2">
        <v>2681498779</v>
      </c>
      <c r="C252" s="2" t="s">
        <v>5</v>
      </c>
      <c r="D252" s="2" t="s">
        <v>18</v>
      </c>
      <c r="E252" s="3">
        <v>45026</v>
      </c>
      <c r="F252" s="2" t="s">
        <v>26</v>
      </c>
      <c r="G252" s="2" t="s">
        <v>22</v>
      </c>
      <c r="H252" s="2" t="s">
        <v>31</v>
      </c>
      <c r="I252" s="2">
        <v>192.51</v>
      </c>
      <c r="J252" s="2">
        <v>880.14</v>
      </c>
      <c r="K252" s="2">
        <v>687.63</v>
      </c>
      <c r="L252" s="2" t="s">
        <v>37</v>
      </c>
      <c r="M252" s="5" t="s">
        <v>44</v>
      </c>
    </row>
    <row r="253" spans="1:13" x14ac:dyDescent="0.35">
      <c r="A253" s="4">
        <v>666847</v>
      </c>
      <c r="B253" s="2">
        <v>3758579296</v>
      </c>
      <c r="C253" s="2" t="s">
        <v>5</v>
      </c>
      <c r="D253" s="2" t="s">
        <v>18</v>
      </c>
      <c r="E253" s="3">
        <v>45407</v>
      </c>
      <c r="F253" s="2" t="s">
        <v>25</v>
      </c>
      <c r="G253" s="2" t="s">
        <v>27</v>
      </c>
      <c r="H253" s="2" t="s">
        <v>28</v>
      </c>
      <c r="I253" s="2">
        <v>0</v>
      </c>
      <c r="J253" s="2">
        <v>2908.61</v>
      </c>
      <c r="K253" s="2">
        <v>2908.61</v>
      </c>
      <c r="L253" s="2" t="s">
        <v>47</v>
      </c>
      <c r="M253" s="5" t="s">
        <v>51</v>
      </c>
    </row>
    <row r="254" spans="1:13" x14ac:dyDescent="0.35">
      <c r="A254" s="4">
        <v>681627</v>
      </c>
      <c r="B254" s="2">
        <v>4770015184</v>
      </c>
      <c r="C254" s="2" t="s">
        <v>4</v>
      </c>
      <c r="D254" s="2" t="s">
        <v>16</v>
      </c>
      <c r="E254" s="3">
        <v>44400</v>
      </c>
      <c r="F254" s="2" t="s">
        <v>21</v>
      </c>
      <c r="G254" s="2" t="s">
        <v>27</v>
      </c>
      <c r="H254" s="2" t="s">
        <v>28</v>
      </c>
      <c r="I254" s="2">
        <v>0</v>
      </c>
      <c r="J254" s="2">
        <v>4295.6400000000003</v>
      </c>
      <c r="K254" s="2">
        <v>4295.6400000000003</v>
      </c>
      <c r="L254" s="2" t="s">
        <v>37</v>
      </c>
      <c r="M254" s="5" t="s">
        <v>49</v>
      </c>
    </row>
    <row r="255" spans="1:13" x14ac:dyDescent="0.35">
      <c r="A255" s="4">
        <v>998348</v>
      </c>
      <c r="B255" s="2">
        <v>4158080357</v>
      </c>
      <c r="C255" s="2" t="s">
        <v>3</v>
      </c>
      <c r="D255" s="2" t="s">
        <v>19</v>
      </c>
      <c r="E255" s="3">
        <v>44615</v>
      </c>
      <c r="F255" s="2" t="s">
        <v>25</v>
      </c>
      <c r="G255" s="2" t="s">
        <v>22</v>
      </c>
      <c r="H255" s="2" t="s">
        <v>23</v>
      </c>
      <c r="I255" s="2">
        <v>126.31</v>
      </c>
      <c r="J255" s="2">
        <v>1951.63</v>
      </c>
      <c r="K255" s="2">
        <v>1825.32</v>
      </c>
      <c r="L255" s="2" t="s">
        <v>37</v>
      </c>
      <c r="M255" s="5" t="s">
        <v>52</v>
      </c>
    </row>
    <row r="256" spans="1:13" x14ac:dyDescent="0.35">
      <c r="A256" s="4">
        <v>297370</v>
      </c>
      <c r="B256" s="2">
        <v>1292649295</v>
      </c>
      <c r="C256" s="2" t="s">
        <v>3</v>
      </c>
      <c r="D256" s="2" t="s">
        <v>18</v>
      </c>
      <c r="E256" s="3">
        <v>44867</v>
      </c>
      <c r="F256" s="2" t="s">
        <v>21</v>
      </c>
      <c r="G256" s="2" t="s">
        <v>27</v>
      </c>
      <c r="H256" s="2" t="s">
        <v>28</v>
      </c>
      <c r="I256" s="2">
        <v>0</v>
      </c>
      <c r="J256" s="2">
        <v>2442.3000000000002</v>
      </c>
      <c r="K256" s="2">
        <v>2442.3000000000002</v>
      </c>
      <c r="L256" s="2" t="s">
        <v>37</v>
      </c>
      <c r="M256" s="5" t="s">
        <v>40</v>
      </c>
    </row>
    <row r="257" spans="1:13" x14ac:dyDescent="0.35">
      <c r="A257" s="4">
        <v>236828</v>
      </c>
      <c r="B257" s="2">
        <v>5558832196</v>
      </c>
      <c r="C257" s="2" t="s">
        <v>4</v>
      </c>
      <c r="D257" s="2" t="s">
        <v>16</v>
      </c>
      <c r="E257" s="3">
        <v>44479</v>
      </c>
      <c r="F257" s="2" t="s">
        <v>36</v>
      </c>
      <c r="G257" s="2" t="s">
        <v>27</v>
      </c>
      <c r="H257" s="2" t="s">
        <v>28</v>
      </c>
      <c r="I257" s="2">
        <v>0</v>
      </c>
      <c r="J257" s="2">
        <v>809.27</v>
      </c>
      <c r="K257" s="2">
        <v>809.27</v>
      </c>
      <c r="L257" s="2" t="s">
        <v>45</v>
      </c>
      <c r="M257" s="5" t="s">
        <v>49</v>
      </c>
    </row>
    <row r="258" spans="1:13" x14ac:dyDescent="0.35">
      <c r="A258" s="4">
        <v>122913</v>
      </c>
      <c r="B258" s="2">
        <v>5569305666</v>
      </c>
      <c r="C258" s="2" t="s">
        <v>3</v>
      </c>
      <c r="D258" s="2" t="s">
        <v>16</v>
      </c>
      <c r="E258" s="3">
        <v>44960</v>
      </c>
      <c r="F258" s="2" t="s">
        <v>25</v>
      </c>
      <c r="G258" s="2" t="s">
        <v>27</v>
      </c>
      <c r="H258" s="2" t="s">
        <v>28</v>
      </c>
      <c r="I258" s="2">
        <v>0</v>
      </c>
      <c r="J258" s="2">
        <v>2021.76</v>
      </c>
      <c r="K258" s="2">
        <v>2021.76</v>
      </c>
      <c r="L258" s="2" t="s">
        <v>50</v>
      </c>
      <c r="M258" s="5" t="s">
        <v>48</v>
      </c>
    </row>
    <row r="259" spans="1:13" x14ac:dyDescent="0.35">
      <c r="A259" s="4">
        <v>445114</v>
      </c>
      <c r="B259" s="2">
        <v>7480981912</v>
      </c>
      <c r="C259" s="2" t="s">
        <v>3</v>
      </c>
      <c r="D259" s="2" t="s">
        <v>18</v>
      </c>
      <c r="E259" s="3">
        <v>44170</v>
      </c>
      <c r="F259" s="2" t="s">
        <v>25</v>
      </c>
      <c r="G259" s="2" t="s">
        <v>27</v>
      </c>
      <c r="H259" s="2" t="s">
        <v>28</v>
      </c>
      <c r="I259" s="2">
        <v>0</v>
      </c>
      <c r="J259" s="2">
        <v>5090.74</v>
      </c>
      <c r="K259" s="2">
        <v>5090.74</v>
      </c>
      <c r="L259" s="2" t="s">
        <v>42</v>
      </c>
      <c r="M259" s="5" t="s">
        <v>40</v>
      </c>
    </row>
    <row r="260" spans="1:13" x14ac:dyDescent="0.35">
      <c r="A260" s="4">
        <v>669113</v>
      </c>
      <c r="B260" s="2">
        <v>3951087403</v>
      </c>
      <c r="C260" s="2" t="s">
        <v>5</v>
      </c>
      <c r="D260" s="2" t="s">
        <v>19</v>
      </c>
      <c r="E260" s="3">
        <v>44872</v>
      </c>
      <c r="F260" s="2" t="s">
        <v>35</v>
      </c>
      <c r="G260" s="2" t="s">
        <v>27</v>
      </c>
      <c r="H260" s="2" t="s">
        <v>28</v>
      </c>
      <c r="I260" s="2">
        <v>0</v>
      </c>
      <c r="J260" s="2">
        <v>4253.8500000000004</v>
      </c>
      <c r="K260" s="2">
        <v>4253.8500000000004</v>
      </c>
      <c r="L260" s="2" t="s">
        <v>55</v>
      </c>
      <c r="M260" s="5" t="s">
        <v>40</v>
      </c>
    </row>
    <row r="261" spans="1:13" x14ac:dyDescent="0.35">
      <c r="A261" s="4">
        <v>756369</v>
      </c>
      <c r="B261" s="2">
        <v>5737468423</v>
      </c>
      <c r="C261" s="2" t="s">
        <v>4</v>
      </c>
      <c r="D261" s="2" t="s">
        <v>17</v>
      </c>
      <c r="E261" s="3">
        <v>45414</v>
      </c>
      <c r="F261" s="2" t="s">
        <v>36</v>
      </c>
      <c r="G261" s="2" t="s">
        <v>22</v>
      </c>
      <c r="H261" s="2" t="s">
        <v>29</v>
      </c>
      <c r="I261" s="2">
        <v>257.73</v>
      </c>
      <c r="J261" s="2">
        <v>3809.68</v>
      </c>
      <c r="K261" s="2">
        <v>3551.95</v>
      </c>
      <c r="L261" s="2" t="s">
        <v>37</v>
      </c>
      <c r="M261" s="5" t="s">
        <v>51</v>
      </c>
    </row>
    <row r="262" spans="1:13" x14ac:dyDescent="0.35">
      <c r="A262" s="4">
        <v>692027</v>
      </c>
      <c r="B262" s="2">
        <v>3773373043</v>
      </c>
      <c r="C262" s="2" t="s">
        <v>5</v>
      </c>
      <c r="D262" s="2" t="s">
        <v>19</v>
      </c>
      <c r="E262" s="3">
        <v>45240</v>
      </c>
      <c r="F262" s="2" t="s">
        <v>32</v>
      </c>
      <c r="G262" s="2" t="s">
        <v>27</v>
      </c>
      <c r="H262" s="2" t="s">
        <v>28</v>
      </c>
      <c r="I262" s="2">
        <v>0</v>
      </c>
      <c r="J262" s="2">
        <v>1089.03</v>
      </c>
      <c r="K262" s="2">
        <v>1089.03</v>
      </c>
      <c r="L262" s="2" t="s">
        <v>37</v>
      </c>
      <c r="M262" s="5" t="s">
        <v>54</v>
      </c>
    </row>
    <row r="263" spans="1:13" x14ac:dyDescent="0.35">
      <c r="A263" s="4">
        <v>418366</v>
      </c>
      <c r="B263" s="2">
        <v>6627671162</v>
      </c>
      <c r="C263" s="2" t="s">
        <v>3</v>
      </c>
      <c r="D263" s="2" t="s">
        <v>19</v>
      </c>
      <c r="E263" s="3">
        <v>44779</v>
      </c>
      <c r="F263" s="2" t="s">
        <v>26</v>
      </c>
      <c r="G263" s="2" t="s">
        <v>27</v>
      </c>
      <c r="H263" s="2" t="s">
        <v>28</v>
      </c>
      <c r="I263" s="2">
        <v>0</v>
      </c>
      <c r="J263" s="2">
        <v>3077.97</v>
      </c>
      <c r="K263" s="2">
        <v>3077.97</v>
      </c>
      <c r="L263" s="2" t="s">
        <v>45</v>
      </c>
      <c r="M263" s="5" t="s">
        <v>51</v>
      </c>
    </row>
    <row r="264" spans="1:13" x14ac:dyDescent="0.35">
      <c r="A264" s="4">
        <v>777504</v>
      </c>
      <c r="B264" s="2">
        <v>1214484999</v>
      </c>
      <c r="C264" s="2" t="s">
        <v>4</v>
      </c>
      <c r="D264" s="2" t="s">
        <v>16</v>
      </c>
      <c r="E264" s="3">
        <v>43858</v>
      </c>
      <c r="F264" s="2" t="s">
        <v>30</v>
      </c>
      <c r="G264" s="2" t="s">
        <v>27</v>
      </c>
      <c r="H264" s="2" t="s">
        <v>28</v>
      </c>
      <c r="I264" s="2">
        <v>0</v>
      </c>
      <c r="J264" s="2">
        <v>3357.52</v>
      </c>
      <c r="K264" s="2">
        <v>3357.52</v>
      </c>
      <c r="L264" s="2" t="s">
        <v>45</v>
      </c>
      <c r="M264" s="5" t="s">
        <v>54</v>
      </c>
    </row>
    <row r="265" spans="1:13" x14ac:dyDescent="0.35">
      <c r="A265" s="4">
        <v>540636</v>
      </c>
      <c r="B265" s="2">
        <v>1051635183</v>
      </c>
      <c r="C265" s="2" t="s">
        <v>4</v>
      </c>
      <c r="D265" s="2" t="s">
        <v>18</v>
      </c>
      <c r="E265" s="3">
        <v>44980</v>
      </c>
      <c r="F265" s="2" t="s">
        <v>30</v>
      </c>
      <c r="G265" s="2" t="s">
        <v>22</v>
      </c>
      <c r="H265" s="2" t="s">
        <v>23</v>
      </c>
      <c r="I265" s="2">
        <v>69.930000000000007</v>
      </c>
      <c r="J265" s="2">
        <v>5018.91</v>
      </c>
      <c r="K265" s="2">
        <v>4948.9799999999996</v>
      </c>
      <c r="L265" s="2" t="s">
        <v>37</v>
      </c>
      <c r="M265" s="5" t="s">
        <v>38</v>
      </c>
    </row>
    <row r="266" spans="1:13" x14ac:dyDescent="0.35">
      <c r="A266" s="4">
        <v>220570</v>
      </c>
      <c r="B266" s="2">
        <v>6659741062</v>
      </c>
      <c r="C266" s="2" t="s">
        <v>5</v>
      </c>
      <c r="D266" s="2" t="s">
        <v>18</v>
      </c>
      <c r="E266" s="3">
        <v>44867</v>
      </c>
      <c r="F266" s="2" t="s">
        <v>25</v>
      </c>
      <c r="G266" s="2" t="s">
        <v>22</v>
      </c>
      <c r="H266" s="2" t="s">
        <v>24</v>
      </c>
      <c r="I266" s="2">
        <v>283.45999999999998</v>
      </c>
      <c r="J266" s="2">
        <v>2898.79</v>
      </c>
      <c r="K266" s="2">
        <v>2615.33</v>
      </c>
      <c r="L266" s="2" t="s">
        <v>47</v>
      </c>
      <c r="M266" s="5" t="s">
        <v>51</v>
      </c>
    </row>
    <row r="267" spans="1:13" x14ac:dyDescent="0.35">
      <c r="A267" s="4">
        <v>618114</v>
      </c>
      <c r="B267" s="2">
        <v>2921476817</v>
      </c>
      <c r="C267" s="2" t="s">
        <v>3</v>
      </c>
      <c r="D267" s="2" t="s">
        <v>16</v>
      </c>
      <c r="E267" s="3">
        <v>45210</v>
      </c>
      <c r="F267" s="2" t="s">
        <v>25</v>
      </c>
      <c r="G267" s="2" t="s">
        <v>22</v>
      </c>
      <c r="H267" s="2" t="s">
        <v>24</v>
      </c>
      <c r="I267" s="2">
        <v>61.05</v>
      </c>
      <c r="J267" s="2">
        <v>1025.01</v>
      </c>
      <c r="K267" s="2">
        <v>963.96</v>
      </c>
      <c r="L267" s="2" t="s">
        <v>41</v>
      </c>
      <c r="M267" s="5" t="s">
        <v>38</v>
      </c>
    </row>
    <row r="268" spans="1:13" x14ac:dyDescent="0.35">
      <c r="A268" s="4">
        <v>248770</v>
      </c>
      <c r="B268" s="2">
        <v>2126415466</v>
      </c>
      <c r="C268" s="2" t="s">
        <v>5</v>
      </c>
      <c r="D268" s="2" t="s">
        <v>16</v>
      </c>
      <c r="E268" s="3">
        <v>44010</v>
      </c>
      <c r="F268" s="2" t="s">
        <v>21</v>
      </c>
      <c r="G268" s="2" t="s">
        <v>27</v>
      </c>
      <c r="H268" s="2" t="s">
        <v>28</v>
      </c>
      <c r="I268" s="2">
        <v>0</v>
      </c>
      <c r="J268" s="2">
        <v>2228.65</v>
      </c>
      <c r="K268" s="2">
        <v>2228.65</v>
      </c>
      <c r="L268" s="2" t="s">
        <v>50</v>
      </c>
      <c r="M268" s="5" t="s">
        <v>40</v>
      </c>
    </row>
    <row r="269" spans="1:13" x14ac:dyDescent="0.35">
      <c r="A269" s="4">
        <v>402467</v>
      </c>
      <c r="B269" s="2">
        <v>3612192326</v>
      </c>
      <c r="C269" s="2" t="s">
        <v>4</v>
      </c>
      <c r="D269" s="2" t="s">
        <v>16</v>
      </c>
      <c r="E269" s="3">
        <v>44531</v>
      </c>
      <c r="F269" s="2" t="s">
        <v>25</v>
      </c>
      <c r="G269" s="2" t="s">
        <v>22</v>
      </c>
      <c r="H269" s="2" t="s">
        <v>24</v>
      </c>
      <c r="I269" s="2">
        <v>414.58</v>
      </c>
      <c r="J269" s="2">
        <v>701.08</v>
      </c>
      <c r="K269" s="2">
        <v>286.5</v>
      </c>
      <c r="L269" s="2" t="s">
        <v>37</v>
      </c>
      <c r="M269" s="5" t="s">
        <v>39</v>
      </c>
    </row>
    <row r="270" spans="1:13" x14ac:dyDescent="0.35">
      <c r="A270" s="4">
        <v>854914</v>
      </c>
      <c r="B270" s="2">
        <v>9111377542</v>
      </c>
      <c r="C270" s="2" t="s">
        <v>4</v>
      </c>
      <c r="D270" s="2" t="s">
        <v>17</v>
      </c>
      <c r="E270" s="3">
        <v>43898</v>
      </c>
      <c r="F270" s="2" t="s">
        <v>26</v>
      </c>
      <c r="G270" s="2" t="s">
        <v>22</v>
      </c>
      <c r="H270" s="2" t="s">
        <v>23</v>
      </c>
      <c r="I270" s="2">
        <v>198.95</v>
      </c>
      <c r="J270" s="2">
        <v>2328.7800000000002</v>
      </c>
      <c r="K270" s="2">
        <v>2129.83</v>
      </c>
      <c r="L270" s="2" t="s">
        <v>37</v>
      </c>
      <c r="M270" s="5" t="s">
        <v>40</v>
      </c>
    </row>
    <row r="271" spans="1:13" x14ac:dyDescent="0.35">
      <c r="A271" s="4">
        <v>995001</v>
      </c>
      <c r="B271" s="2">
        <v>6172025088</v>
      </c>
      <c r="C271" s="2" t="s">
        <v>3</v>
      </c>
      <c r="D271" s="2" t="s">
        <v>16</v>
      </c>
      <c r="E271" s="3">
        <v>43898</v>
      </c>
      <c r="F271" s="2" t="s">
        <v>25</v>
      </c>
      <c r="G271" s="2" t="s">
        <v>22</v>
      </c>
      <c r="H271" s="2" t="s">
        <v>31</v>
      </c>
      <c r="I271" s="2">
        <v>447.39</v>
      </c>
      <c r="J271" s="2">
        <v>2446.96</v>
      </c>
      <c r="K271" s="2">
        <v>1999.57</v>
      </c>
      <c r="L271" s="2" t="s">
        <v>37</v>
      </c>
      <c r="M271" s="5" t="s">
        <v>39</v>
      </c>
    </row>
    <row r="272" spans="1:13" x14ac:dyDescent="0.35">
      <c r="A272" s="4">
        <v>423508</v>
      </c>
      <c r="B272" s="2">
        <v>2872311328</v>
      </c>
      <c r="C272" s="2" t="s">
        <v>4</v>
      </c>
      <c r="D272" s="2" t="s">
        <v>19</v>
      </c>
      <c r="E272" s="3">
        <v>44058</v>
      </c>
      <c r="F272" s="2" t="s">
        <v>26</v>
      </c>
      <c r="G272" s="2" t="s">
        <v>22</v>
      </c>
      <c r="H272" s="2" t="s">
        <v>23</v>
      </c>
      <c r="I272" s="2">
        <v>409.78</v>
      </c>
      <c r="J272" s="2">
        <v>2891.61</v>
      </c>
      <c r="K272" s="2">
        <v>2481.83</v>
      </c>
      <c r="L272" s="2" t="s">
        <v>37</v>
      </c>
      <c r="M272" s="5" t="s">
        <v>54</v>
      </c>
    </row>
    <row r="273" spans="1:13" x14ac:dyDescent="0.35">
      <c r="A273" s="4">
        <v>509850</v>
      </c>
      <c r="B273" s="2">
        <v>9280022678</v>
      </c>
      <c r="C273" s="2" t="s">
        <v>3</v>
      </c>
      <c r="D273" s="2" t="s">
        <v>19</v>
      </c>
      <c r="E273" s="3">
        <v>45045</v>
      </c>
      <c r="F273" s="2" t="s">
        <v>25</v>
      </c>
      <c r="G273" s="2" t="s">
        <v>27</v>
      </c>
      <c r="H273" s="2" t="s">
        <v>28</v>
      </c>
      <c r="I273" s="2">
        <v>0</v>
      </c>
      <c r="J273" s="2">
        <v>3654.37</v>
      </c>
      <c r="K273" s="2">
        <v>3654.37</v>
      </c>
      <c r="L273" s="2" t="s">
        <v>37</v>
      </c>
      <c r="M273" s="5" t="s">
        <v>39</v>
      </c>
    </row>
    <row r="274" spans="1:13" x14ac:dyDescent="0.35">
      <c r="A274" s="4">
        <v>962198</v>
      </c>
      <c r="B274" s="2">
        <v>2814173307</v>
      </c>
      <c r="C274" s="2" t="s">
        <v>4</v>
      </c>
      <c r="D274" s="2" t="s">
        <v>16</v>
      </c>
      <c r="E274" s="3">
        <v>44110</v>
      </c>
      <c r="F274" s="2" t="s">
        <v>25</v>
      </c>
      <c r="G274" s="2" t="s">
        <v>27</v>
      </c>
      <c r="H274" s="2" t="s">
        <v>28</v>
      </c>
      <c r="I274" s="2">
        <v>0</v>
      </c>
      <c r="J274" s="2">
        <v>4352.3</v>
      </c>
      <c r="K274" s="2">
        <v>4352.3</v>
      </c>
      <c r="L274" s="2" t="s">
        <v>50</v>
      </c>
      <c r="M274" s="5" t="s">
        <v>54</v>
      </c>
    </row>
    <row r="275" spans="1:13" x14ac:dyDescent="0.35">
      <c r="A275" s="4">
        <v>335515</v>
      </c>
      <c r="B275" s="2">
        <v>8866681438</v>
      </c>
      <c r="C275" s="2" t="s">
        <v>3</v>
      </c>
      <c r="D275" s="2" t="s">
        <v>18</v>
      </c>
      <c r="E275" s="3">
        <v>45266</v>
      </c>
      <c r="F275" s="2" t="s">
        <v>21</v>
      </c>
      <c r="G275" s="2" t="s">
        <v>22</v>
      </c>
      <c r="H275" s="2" t="s">
        <v>24</v>
      </c>
      <c r="I275" s="2">
        <v>238.21</v>
      </c>
      <c r="J275" s="2">
        <v>884.15</v>
      </c>
      <c r="K275" s="2">
        <v>645.94000000000005</v>
      </c>
      <c r="L275" s="2" t="s">
        <v>37</v>
      </c>
      <c r="M275" s="5" t="s">
        <v>51</v>
      </c>
    </row>
    <row r="276" spans="1:13" x14ac:dyDescent="0.35">
      <c r="A276" s="4">
        <v>714298</v>
      </c>
      <c r="B276" s="2">
        <v>3239036316</v>
      </c>
      <c r="C276" s="2" t="s">
        <v>4</v>
      </c>
      <c r="D276" s="2" t="s">
        <v>19</v>
      </c>
      <c r="E276" s="3">
        <v>44346</v>
      </c>
      <c r="F276" s="2" t="s">
        <v>25</v>
      </c>
      <c r="G276" s="2" t="s">
        <v>22</v>
      </c>
      <c r="H276" s="2" t="s">
        <v>23</v>
      </c>
      <c r="I276" s="2">
        <v>270.33999999999997</v>
      </c>
      <c r="J276" s="2">
        <v>913.48</v>
      </c>
      <c r="K276" s="2">
        <v>643.14</v>
      </c>
      <c r="L276" s="2" t="s">
        <v>41</v>
      </c>
      <c r="M276" s="5" t="s">
        <v>53</v>
      </c>
    </row>
    <row r="277" spans="1:13" x14ac:dyDescent="0.35">
      <c r="A277" s="4">
        <v>208055</v>
      </c>
      <c r="B277" s="2">
        <v>5981437770</v>
      </c>
      <c r="C277" s="2" t="s">
        <v>5</v>
      </c>
      <c r="D277" s="2" t="s">
        <v>17</v>
      </c>
      <c r="E277" s="3">
        <v>44108</v>
      </c>
      <c r="F277" s="2" t="s">
        <v>35</v>
      </c>
      <c r="G277" s="2" t="s">
        <v>22</v>
      </c>
      <c r="H277" s="2" t="s">
        <v>31</v>
      </c>
      <c r="I277" s="2">
        <v>483.72</v>
      </c>
      <c r="J277" s="2">
        <v>2731.44</v>
      </c>
      <c r="K277" s="2">
        <v>2247.7199999999998</v>
      </c>
      <c r="L277" s="2" t="s">
        <v>43</v>
      </c>
      <c r="M277" s="5" t="s">
        <v>39</v>
      </c>
    </row>
    <row r="278" spans="1:13" x14ac:dyDescent="0.35">
      <c r="A278" s="4">
        <v>654504</v>
      </c>
      <c r="B278" s="2">
        <v>9768967810</v>
      </c>
      <c r="C278" s="2" t="s">
        <v>4</v>
      </c>
      <c r="D278" s="2" t="s">
        <v>16</v>
      </c>
      <c r="E278" s="3">
        <v>44901</v>
      </c>
      <c r="F278" s="2" t="s">
        <v>25</v>
      </c>
      <c r="G278" s="2" t="s">
        <v>22</v>
      </c>
      <c r="H278" s="2" t="s">
        <v>31</v>
      </c>
      <c r="I278" s="2">
        <v>149.24</v>
      </c>
      <c r="J278" s="2">
        <v>319.37</v>
      </c>
      <c r="K278" s="2">
        <v>170.13</v>
      </c>
      <c r="L278" s="2" t="s">
        <v>45</v>
      </c>
      <c r="M278" s="5" t="s">
        <v>51</v>
      </c>
    </row>
    <row r="279" spans="1:13" x14ac:dyDescent="0.35">
      <c r="A279" s="4">
        <v>918243</v>
      </c>
      <c r="B279" s="2">
        <v>4714448882</v>
      </c>
      <c r="C279" s="2" t="s">
        <v>4</v>
      </c>
      <c r="D279" s="2" t="s">
        <v>16</v>
      </c>
      <c r="E279" s="3">
        <v>44761</v>
      </c>
      <c r="F279" s="2" t="s">
        <v>21</v>
      </c>
      <c r="G279" s="2" t="s">
        <v>22</v>
      </c>
      <c r="H279" s="2" t="s">
        <v>23</v>
      </c>
      <c r="I279" s="2">
        <v>170.55</v>
      </c>
      <c r="J279" s="2">
        <v>2881.5</v>
      </c>
      <c r="K279" s="2">
        <v>2710.95</v>
      </c>
      <c r="L279" s="2" t="s">
        <v>41</v>
      </c>
      <c r="M279" s="5" t="s">
        <v>44</v>
      </c>
    </row>
    <row r="280" spans="1:13" x14ac:dyDescent="0.35">
      <c r="A280" s="4">
        <v>570726</v>
      </c>
      <c r="B280" s="2">
        <v>3303432783</v>
      </c>
      <c r="C280" s="2" t="s">
        <v>4</v>
      </c>
      <c r="D280" s="2" t="s">
        <v>16</v>
      </c>
      <c r="E280" s="3">
        <v>44892</v>
      </c>
      <c r="F280" s="2" t="s">
        <v>34</v>
      </c>
      <c r="G280" s="2" t="s">
        <v>27</v>
      </c>
      <c r="H280" s="2" t="s">
        <v>28</v>
      </c>
      <c r="I280" s="2">
        <v>0</v>
      </c>
      <c r="J280" s="2">
        <v>966.85</v>
      </c>
      <c r="K280" s="2">
        <v>966.85</v>
      </c>
      <c r="L280" s="2" t="s">
        <v>47</v>
      </c>
      <c r="M280" s="5" t="s">
        <v>40</v>
      </c>
    </row>
    <row r="281" spans="1:13" x14ac:dyDescent="0.35">
      <c r="A281" s="4">
        <v>228244</v>
      </c>
      <c r="B281" s="2">
        <v>6109255798</v>
      </c>
      <c r="C281" s="2" t="s">
        <v>3</v>
      </c>
      <c r="D281" s="2" t="s">
        <v>18</v>
      </c>
      <c r="E281" s="3">
        <v>44571</v>
      </c>
      <c r="F281" s="2" t="s">
        <v>5</v>
      </c>
      <c r="G281" s="2" t="s">
        <v>27</v>
      </c>
      <c r="H281" s="2" t="s">
        <v>28</v>
      </c>
      <c r="I281" s="2">
        <v>0</v>
      </c>
      <c r="J281" s="2">
        <v>5498.52</v>
      </c>
      <c r="K281" s="2">
        <v>5498.52</v>
      </c>
      <c r="L281" s="2" t="s">
        <v>41</v>
      </c>
      <c r="M281" s="5" t="s">
        <v>54</v>
      </c>
    </row>
    <row r="282" spans="1:13" x14ac:dyDescent="0.35">
      <c r="A282" s="4">
        <v>262520</v>
      </c>
      <c r="B282" s="2">
        <v>9877585075</v>
      </c>
      <c r="C282" s="2" t="s">
        <v>5</v>
      </c>
      <c r="D282" s="2" t="s">
        <v>16</v>
      </c>
      <c r="E282" s="3">
        <v>44629</v>
      </c>
      <c r="F282" s="2" t="s">
        <v>21</v>
      </c>
      <c r="G282" s="2" t="s">
        <v>27</v>
      </c>
      <c r="H282" s="2" t="s">
        <v>28</v>
      </c>
      <c r="I282" s="2">
        <v>0</v>
      </c>
      <c r="J282" s="2">
        <v>1153.17</v>
      </c>
      <c r="K282" s="2">
        <v>1153.17</v>
      </c>
      <c r="L282" s="2" t="s">
        <v>50</v>
      </c>
      <c r="M282" s="5" t="s">
        <v>40</v>
      </c>
    </row>
    <row r="283" spans="1:13" x14ac:dyDescent="0.35">
      <c r="A283" s="4">
        <v>945091</v>
      </c>
      <c r="B283" s="2">
        <v>7107366265</v>
      </c>
      <c r="C283" s="2" t="s">
        <v>5</v>
      </c>
      <c r="D283" s="2" t="s">
        <v>16</v>
      </c>
      <c r="E283" s="3">
        <v>45093</v>
      </c>
      <c r="F283" s="2" t="s">
        <v>32</v>
      </c>
      <c r="G283" s="2" t="s">
        <v>22</v>
      </c>
      <c r="H283" s="2" t="s">
        <v>24</v>
      </c>
      <c r="I283" s="2">
        <v>366.82</v>
      </c>
      <c r="J283" s="2">
        <v>1677.53</v>
      </c>
      <c r="K283" s="2">
        <v>1310.71</v>
      </c>
      <c r="L283" s="2" t="s">
        <v>50</v>
      </c>
      <c r="M283" s="5" t="s">
        <v>39</v>
      </c>
    </row>
    <row r="284" spans="1:13" x14ac:dyDescent="0.35">
      <c r="A284" s="4">
        <v>230344</v>
      </c>
      <c r="B284" s="2">
        <v>4030482810</v>
      </c>
      <c r="C284" s="2" t="s">
        <v>5</v>
      </c>
      <c r="D284" s="2" t="s">
        <v>19</v>
      </c>
      <c r="E284" s="3">
        <v>45570</v>
      </c>
      <c r="F284" s="2" t="s">
        <v>35</v>
      </c>
      <c r="G284" s="2" t="s">
        <v>27</v>
      </c>
      <c r="H284" s="2" t="s">
        <v>28</v>
      </c>
      <c r="I284" s="2">
        <v>0</v>
      </c>
      <c r="J284" s="2">
        <v>5757.54</v>
      </c>
      <c r="K284" s="2">
        <v>5757.54</v>
      </c>
      <c r="L284" s="2" t="s">
        <v>42</v>
      </c>
      <c r="M284" s="5" t="s">
        <v>51</v>
      </c>
    </row>
    <row r="285" spans="1:13" x14ac:dyDescent="0.35">
      <c r="A285" s="4">
        <v>359322</v>
      </c>
      <c r="B285" s="2">
        <v>2587495160</v>
      </c>
      <c r="C285" s="2" t="s">
        <v>5</v>
      </c>
      <c r="D285" s="2" t="s">
        <v>18</v>
      </c>
      <c r="E285" s="3">
        <v>44860</v>
      </c>
      <c r="F285" s="2" t="s">
        <v>21</v>
      </c>
      <c r="G285" s="2" t="s">
        <v>22</v>
      </c>
      <c r="H285" s="2" t="s">
        <v>31</v>
      </c>
      <c r="I285" s="2">
        <v>354.31</v>
      </c>
      <c r="J285" s="2">
        <v>3192.7</v>
      </c>
      <c r="K285" s="2">
        <v>2838.39</v>
      </c>
      <c r="L285" s="2" t="s">
        <v>43</v>
      </c>
      <c r="M285" s="5" t="s">
        <v>44</v>
      </c>
    </row>
    <row r="286" spans="1:13" x14ac:dyDescent="0.35">
      <c r="A286" s="4">
        <v>790172</v>
      </c>
      <c r="B286" s="2">
        <v>5088187496</v>
      </c>
      <c r="C286" s="2" t="s">
        <v>4</v>
      </c>
      <c r="D286" s="2" t="s">
        <v>18</v>
      </c>
      <c r="E286" s="3">
        <v>44496</v>
      </c>
      <c r="F286" s="2" t="s">
        <v>35</v>
      </c>
      <c r="G286" s="2" t="s">
        <v>22</v>
      </c>
      <c r="H286" s="2" t="s">
        <v>24</v>
      </c>
      <c r="I286" s="2">
        <v>387.41</v>
      </c>
      <c r="J286" s="2">
        <v>4258.37</v>
      </c>
      <c r="K286" s="2">
        <v>3870.96</v>
      </c>
      <c r="L286" s="2" t="s">
        <v>37</v>
      </c>
      <c r="M286" s="5" t="s">
        <v>54</v>
      </c>
    </row>
    <row r="287" spans="1:13" x14ac:dyDescent="0.35">
      <c r="A287" s="4">
        <v>738331</v>
      </c>
      <c r="B287" s="2">
        <v>5995452713</v>
      </c>
      <c r="C287" s="2" t="s">
        <v>4</v>
      </c>
      <c r="D287" s="2" t="s">
        <v>19</v>
      </c>
      <c r="E287" s="3">
        <v>44222</v>
      </c>
      <c r="F287" s="2" t="s">
        <v>25</v>
      </c>
      <c r="G287" s="2" t="s">
        <v>22</v>
      </c>
      <c r="H287" s="2" t="s">
        <v>31</v>
      </c>
      <c r="I287" s="2">
        <v>256.3</v>
      </c>
      <c r="J287" s="2">
        <v>3337.39</v>
      </c>
      <c r="K287" s="2">
        <v>3081.09</v>
      </c>
      <c r="L287" s="2" t="s">
        <v>41</v>
      </c>
      <c r="M287" s="5" t="s">
        <v>48</v>
      </c>
    </row>
    <row r="288" spans="1:13" x14ac:dyDescent="0.35">
      <c r="A288" s="4">
        <v>194343</v>
      </c>
      <c r="B288" s="2">
        <v>6960969296</v>
      </c>
      <c r="C288" s="2" t="s">
        <v>5</v>
      </c>
      <c r="D288" s="2" t="s">
        <v>17</v>
      </c>
      <c r="E288" s="3">
        <v>43902</v>
      </c>
      <c r="F288" s="2" t="s">
        <v>34</v>
      </c>
      <c r="G288" s="2" t="s">
        <v>27</v>
      </c>
      <c r="H288" s="2" t="s">
        <v>28</v>
      </c>
      <c r="I288" s="2">
        <v>0</v>
      </c>
      <c r="J288" s="2">
        <v>2135.0300000000002</v>
      </c>
      <c r="K288" s="2">
        <v>2135.0300000000002</v>
      </c>
      <c r="L288" s="2" t="s">
        <v>37</v>
      </c>
      <c r="M288" s="5" t="s">
        <v>54</v>
      </c>
    </row>
    <row r="289" spans="1:13" x14ac:dyDescent="0.35">
      <c r="A289" s="4">
        <v>829283</v>
      </c>
      <c r="B289" s="2">
        <v>5699829585</v>
      </c>
      <c r="C289" s="2" t="s">
        <v>4</v>
      </c>
      <c r="D289" s="2" t="s">
        <v>16</v>
      </c>
      <c r="E289" s="3">
        <v>45224</v>
      </c>
      <c r="F289" s="2" t="s">
        <v>35</v>
      </c>
      <c r="G289" s="2" t="s">
        <v>22</v>
      </c>
      <c r="H289" s="2" t="s">
        <v>33</v>
      </c>
      <c r="I289" s="2">
        <v>331.78</v>
      </c>
      <c r="J289" s="2">
        <v>5554.57</v>
      </c>
      <c r="K289" s="2">
        <v>5222.79</v>
      </c>
      <c r="L289" s="2" t="s">
        <v>41</v>
      </c>
      <c r="M289" s="5" t="s">
        <v>40</v>
      </c>
    </row>
    <row r="290" spans="1:13" x14ac:dyDescent="0.35">
      <c r="A290" s="4">
        <v>661894</v>
      </c>
      <c r="B290" s="2">
        <v>1186033757</v>
      </c>
      <c r="C290" s="2" t="s">
        <v>3</v>
      </c>
      <c r="D290" s="2" t="s">
        <v>20</v>
      </c>
      <c r="E290" s="3">
        <v>44872</v>
      </c>
      <c r="F290" s="2" t="s">
        <v>32</v>
      </c>
      <c r="G290" s="2" t="s">
        <v>22</v>
      </c>
      <c r="H290" s="2" t="s">
        <v>29</v>
      </c>
      <c r="I290" s="2">
        <v>459.23</v>
      </c>
      <c r="J290" s="2">
        <v>4583.41</v>
      </c>
      <c r="K290" s="2">
        <v>4124.18</v>
      </c>
      <c r="L290" s="2" t="s">
        <v>41</v>
      </c>
      <c r="M290" s="5" t="s">
        <v>56</v>
      </c>
    </row>
    <row r="291" spans="1:13" x14ac:dyDescent="0.35">
      <c r="A291" s="4">
        <v>271055</v>
      </c>
      <c r="B291" s="2">
        <v>7121713134</v>
      </c>
      <c r="C291" s="2" t="s">
        <v>3</v>
      </c>
      <c r="D291" s="2" t="s">
        <v>16</v>
      </c>
      <c r="E291" s="3">
        <v>45430</v>
      </c>
      <c r="F291" s="2" t="s">
        <v>36</v>
      </c>
      <c r="G291" s="2" t="s">
        <v>27</v>
      </c>
      <c r="H291" s="2" t="s">
        <v>28</v>
      </c>
      <c r="I291" s="2">
        <v>0</v>
      </c>
      <c r="J291" s="2">
        <v>4216.09</v>
      </c>
      <c r="K291" s="2">
        <v>4216.09</v>
      </c>
      <c r="L291" s="2" t="s">
        <v>37</v>
      </c>
      <c r="M291" s="5" t="s">
        <v>40</v>
      </c>
    </row>
    <row r="292" spans="1:13" x14ac:dyDescent="0.35">
      <c r="A292" s="4">
        <v>311559</v>
      </c>
      <c r="B292" s="2">
        <v>4732356431</v>
      </c>
      <c r="C292" s="2" t="s">
        <v>3</v>
      </c>
      <c r="D292" s="2" t="s">
        <v>19</v>
      </c>
      <c r="E292" s="3">
        <v>43506</v>
      </c>
      <c r="F292" s="2" t="s">
        <v>35</v>
      </c>
      <c r="G292" s="2" t="s">
        <v>22</v>
      </c>
      <c r="H292" s="2" t="s">
        <v>31</v>
      </c>
      <c r="I292" s="2">
        <v>50.49</v>
      </c>
      <c r="J292" s="2">
        <v>2708.76</v>
      </c>
      <c r="K292" s="2">
        <v>2658.27</v>
      </c>
      <c r="L292" s="2" t="s">
        <v>45</v>
      </c>
      <c r="M292" s="5" t="s">
        <v>39</v>
      </c>
    </row>
    <row r="293" spans="1:13" x14ac:dyDescent="0.35">
      <c r="A293" s="4">
        <v>454352</v>
      </c>
      <c r="B293" s="2">
        <v>4334474378</v>
      </c>
      <c r="C293" s="2" t="s">
        <v>4</v>
      </c>
      <c r="D293" s="2" t="s">
        <v>20</v>
      </c>
      <c r="E293" s="3">
        <v>43718</v>
      </c>
      <c r="F293" s="2" t="s">
        <v>35</v>
      </c>
      <c r="G293" s="2" t="s">
        <v>22</v>
      </c>
      <c r="H293" s="2" t="s">
        <v>29</v>
      </c>
      <c r="I293" s="2">
        <v>240.04</v>
      </c>
      <c r="J293" s="2">
        <v>870.16</v>
      </c>
      <c r="K293" s="2">
        <v>630.12</v>
      </c>
      <c r="L293" s="2" t="s">
        <v>41</v>
      </c>
      <c r="M293" s="5" t="s">
        <v>40</v>
      </c>
    </row>
    <row r="294" spans="1:13" x14ac:dyDescent="0.35">
      <c r="A294" s="4">
        <v>620248</v>
      </c>
      <c r="B294" s="2">
        <v>7508758550</v>
      </c>
      <c r="C294" s="2" t="s">
        <v>3</v>
      </c>
      <c r="D294" s="2" t="s">
        <v>18</v>
      </c>
      <c r="E294" s="3">
        <v>44362</v>
      </c>
      <c r="F294" s="2" t="s">
        <v>21</v>
      </c>
      <c r="G294" s="2" t="s">
        <v>27</v>
      </c>
      <c r="H294" s="2" t="s">
        <v>28</v>
      </c>
      <c r="I294" s="2">
        <v>0</v>
      </c>
      <c r="J294" s="2">
        <v>806.93</v>
      </c>
      <c r="K294" s="2">
        <v>806.93</v>
      </c>
      <c r="L294" s="2" t="s">
        <v>50</v>
      </c>
      <c r="M294" s="5" t="s">
        <v>40</v>
      </c>
    </row>
    <row r="295" spans="1:13" x14ac:dyDescent="0.35">
      <c r="A295" s="4">
        <v>119627</v>
      </c>
      <c r="B295" s="2">
        <v>8841458420</v>
      </c>
      <c r="C295" s="2" t="s">
        <v>4</v>
      </c>
      <c r="D295" s="2" t="s">
        <v>16</v>
      </c>
      <c r="E295" s="3">
        <v>44282</v>
      </c>
      <c r="F295" s="2" t="s">
        <v>26</v>
      </c>
      <c r="G295" s="2" t="s">
        <v>22</v>
      </c>
      <c r="H295" s="2" t="s">
        <v>24</v>
      </c>
      <c r="I295" s="2">
        <v>375.09</v>
      </c>
      <c r="J295" s="2">
        <v>3340.02</v>
      </c>
      <c r="K295" s="2">
        <v>2964.93</v>
      </c>
      <c r="L295" s="2" t="s">
        <v>37</v>
      </c>
      <c r="M295" s="5" t="s">
        <v>49</v>
      </c>
    </row>
    <row r="296" spans="1:13" x14ac:dyDescent="0.35">
      <c r="A296" s="4">
        <v>999596</v>
      </c>
      <c r="B296" s="2">
        <v>6945302696</v>
      </c>
      <c r="C296" s="2" t="s">
        <v>5</v>
      </c>
      <c r="D296" s="2" t="s">
        <v>18</v>
      </c>
      <c r="E296" s="3">
        <v>45467</v>
      </c>
      <c r="F296" s="2" t="s">
        <v>35</v>
      </c>
      <c r="G296" s="2" t="s">
        <v>22</v>
      </c>
      <c r="H296" s="2" t="s">
        <v>31</v>
      </c>
      <c r="I296" s="2">
        <v>315.31</v>
      </c>
      <c r="J296" s="2">
        <v>2264.12</v>
      </c>
      <c r="K296" s="2">
        <v>1948.81</v>
      </c>
      <c r="L296" s="2" t="s">
        <v>41</v>
      </c>
      <c r="M296" s="5" t="s">
        <v>48</v>
      </c>
    </row>
    <row r="297" spans="1:13" x14ac:dyDescent="0.35">
      <c r="A297" s="4">
        <v>544167</v>
      </c>
      <c r="B297" s="2">
        <v>6248358004</v>
      </c>
      <c r="C297" s="2" t="s">
        <v>3</v>
      </c>
      <c r="D297" s="2" t="s">
        <v>18</v>
      </c>
      <c r="E297" s="3">
        <v>44711</v>
      </c>
      <c r="F297" s="2" t="s">
        <v>21</v>
      </c>
      <c r="G297" s="2" t="s">
        <v>27</v>
      </c>
      <c r="H297" s="2" t="s">
        <v>28</v>
      </c>
      <c r="I297" s="2">
        <v>0</v>
      </c>
      <c r="J297" s="2">
        <v>4517.2</v>
      </c>
      <c r="K297" s="2">
        <v>4517.2</v>
      </c>
      <c r="L297" s="2" t="s">
        <v>37</v>
      </c>
      <c r="M297" s="5" t="s">
        <v>49</v>
      </c>
    </row>
    <row r="298" spans="1:13" x14ac:dyDescent="0.35">
      <c r="A298" s="4">
        <v>238205</v>
      </c>
      <c r="B298" s="2">
        <v>9889003328</v>
      </c>
      <c r="C298" s="2" t="s">
        <v>5</v>
      </c>
      <c r="D298" s="2" t="s">
        <v>16</v>
      </c>
      <c r="E298" s="3">
        <v>44880</v>
      </c>
      <c r="F298" s="2" t="s">
        <v>26</v>
      </c>
      <c r="G298" s="2" t="s">
        <v>27</v>
      </c>
      <c r="H298" s="2" t="s">
        <v>28</v>
      </c>
      <c r="I298" s="2">
        <v>0</v>
      </c>
      <c r="J298" s="2">
        <v>2367.15</v>
      </c>
      <c r="K298" s="2">
        <v>2367.15</v>
      </c>
      <c r="L298" s="2" t="s">
        <v>37</v>
      </c>
      <c r="M298" s="5" t="s">
        <v>39</v>
      </c>
    </row>
    <row r="299" spans="1:13" x14ac:dyDescent="0.35">
      <c r="A299" s="4">
        <v>677390</v>
      </c>
      <c r="B299" s="2">
        <v>4049943829</v>
      </c>
      <c r="C299" s="2" t="s">
        <v>5</v>
      </c>
      <c r="D299" s="2" t="s">
        <v>16</v>
      </c>
      <c r="E299" s="3">
        <v>44502</v>
      </c>
      <c r="F299" s="2" t="s">
        <v>34</v>
      </c>
      <c r="G299" s="2" t="s">
        <v>22</v>
      </c>
      <c r="H299" s="2" t="s">
        <v>24</v>
      </c>
      <c r="I299" s="2">
        <v>489.96</v>
      </c>
      <c r="J299" s="2">
        <v>4615.5200000000004</v>
      </c>
      <c r="K299" s="2">
        <v>4125.5600000000004</v>
      </c>
      <c r="L299" s="2" t="s">
        <v>37</v>
      </c>
      <c r="M299" s="5" t="s">
        <v>40</v>
      </c>
    </row>
    <row r="300" spans="1:13" x14ac:dyDescent="0.35">
      <c r="A300" s="4">
        <v>567672</v>
      </c>
      <c r="B300" s="2">
        <v>2374111231</v>
      </c>
      <c r="C300" s="2" t="s">
        <v>3</v>
      </c>
      <c r="D300" s="2" t="s">
        <v>16</v>
      </c>
      <c r="E300" s="3">
        <v>45336</v>
      </c>
      <c r="F300" s="2" t="s">
        <v>32</v>
      </c>
      <c r="G300" s="2" t="s">
        <v>27</v>
      </c>
      <c r="H300" s="2" t="s">
        <v>28</v>
      </c>
      <c r="I300" s="2">
        <v>0</v>
      </c>
      <c r="J300" s="2">
        <v>5077.79</v>
      </c>
      <c r="K300" s="2">
        <v>5077.79</v>
      </c>
      <c r="L300" s="2" t="s">
        <v>41</v>
      </c>
      <c r="M300" s="5" t="s">
        <v>38</v>
      </c>
    </row>
    <row r="301" spans="1:13" x14ac:dyDescent="0.35">
      <c r="A301" s="4">
        <v>165308</v>
      </c>
      <c r="B301" s="2">
        <v>6582702511</v>
      </c>
      <c r="C301" s="2" t="s">
        <v>3</v>
      </c>
      <c r="D301" s="2" t="s">
        <v>20</v>
      </c>
      <c r="E301" s="3">
        <v>44058</v>
      </c>
      <c r="F301" s="2" t="s">
        <v>21</v>
      </c>
      <c r="G301" s="2" t="s">
        <v>27</v>
      </c>
      <c r="H301" s="2" t="s">
        <v>28</v>
      </c>
      <c r="I301" s="2">
        <v>0</v>
      </c>
      <c r="J301" s="2">
        <v>2737.41</v>
      </c>
      <c r="K301" s="2">
        <v>2737.41</v>
      </c>
      <c r="L301" s="2" t="s">
        <v>37</v>
      </c>
      <c r="M301" s="5" t="s">
        <v>51</v>
      </c>
    </row>
    <row r="302" spans="1:13" x14ac:dyDescent="0.35">
      <c r="A302" s="4">
        <v>648108</v>
      </c>
      <c r="B302" s="2">
        <v>5158734449</v>
      </c>
      <c r="C302" s="2" t="s">
        <v>5</v>
      </c>
      <c r="D302" s="2" t="s">
        <v>16</v>
      </c>
      <c r="E302" s="3">
        <v>43534</v>
      </c>
      <c r="F302" s="2" t="s">
        <v>25</v>
      </c>
      <c r="G302" s="2" t="s">
        <v>22</v>
      </c>
      <c r="H302" s="2" t="s">
        <v>33</v>
      </c>
      <c r="I302" s="2">
        <v>189.46</v>
      </c>
      <c r="J302" s="2">
        <v>2892.81</v>
      </c>
      <c r="K302" s="2">
        <v>2703.35</v>
      </c>
      <c r="L302" s="2" t="s">
        <v>41</v>
      </c>
      <c r="M302" s="5" t="s">
        <v>39</v>
      </c>
    </row>
    <row r="303" spans="1:13" x14ac:dyDescent="0.35">
      <c r="A303" s="4">
        <v>808441</v>
      </c>
      <c r="B303" s="2">
        <v>4931038429</v>
      </c>
      <c r="C303" s="2" t="s">
        <v>5</v>
      </c>
      <c r="D303" s="2" t="s">
        <v>16</v>
      </c>
      <c r="E303" s="3">
        <v>45508</v>
      </c>
      <c r="F303" s="2" t="s">
        <v>21</v>
      </c>
      <c r="G303" s="2" t="s">
        <v>22</v>
      </c>
      <c r="H303" s="2" t="s">
        <v>24</v>
      </c>
      <c r="I303" s="2">
        <v>246.87</v>
      </c>
      <c r="J303" s="2">
        <v>5967.66</v>
      </c>
      <c r="K303" s="2">
        <v>5720.79</v>
      </c>
      <c r="L303" s="2" t="s">
        <v>37</v>
      </c>
      <c r="M303" s="5" t="s">
        <v>44</v>
      </c>
    </row>
    <row r="304" spans="1:13" x14ac:dyDescent="0.35">
      <c r="A304" s="4">
        <v>491835</v>
      </c>
      <c r="B304" s="2">
        <v>9262905889</v>
      </c>
      <c r="C304" s="2" t="s">
        <v>3</v>
      </c>
      <c r="D304" s="2" t="s">
        <v>16</v>
      </c>
      <c r="E304" s="3">
        <v>44175</v>
      </c>
      <c r="F304" s="2" t="s">
        <v>21</v>
      </c>
      <c r="G304" s="2" t="s">
        <v>27</v>
      </c>
      <c r="H304" s="2" t="s">
        <v>28</v>
      </c>
      <c r="I304" s="2">
        <v>0</v>
      </c>
      <c r="J304" s="2">
        <v>3904.47</v>
      </c>
      <c r="K304" s="2">
        <v>3904.47</v>
      </c>
      <c r="L304" s="2" t="s">
        <v>41</v>
      </c>
      <c r="M304" s="5" t="s">
        <v>49</v>
      </c>
    </row>
    <row r="305" spans="1:13" x14ac:dyDescent="0.35">
      <c r="A305" s="4">
        <v>732829</v>
      </c>
      <c r="B305" s="2">
        <v>4617952074</v>
      </c>
      <c r="C305" s="2" t="s">
        <v>3</v>
      </c>
      <c r="D305" s="2" t="s">
        <v>18</v>
      </c>
      <c r="E305" s="3">
        <v>45146</v>
      </c>
      <c r="F305" s="2" t="s">
        <v>26</v>
      </c>
      <c r="G305" s="2" t="s">
        <v>27</v>
      </c>
      <c r="H305" s="2" t="s">
        <v>28</v>
      </c>
      <c r="I305" s="2">
        <v>0</v>
      </c>
      <c r="J305" s="2">
        <v>1151.72</v>
      </c>
      <c r="K305" s="2">
        <v>1151.72</v>
      </c>
      <c r="L305" s="2" t="s">
        <v>45</v>
      </c>
      <c r="M305" s="5" t="s">
        <v>56</v>
      </c>
    </row>
    <row r="306" spans="1:13" x14ac:dyDescent="0.35">
      <c r="A306" s="4">
        <v>746915</v>
      </c>
      <c r="B306" s="2">
        <v>4627577136</v>
      </c>
      <c r="C306" s="2" t="s">
        <v>5</v>
      </c>
      <c r="D306" s="2" t="s">
        <v>18</v>
      </c>
      <c r="E306" s="3">
        <v>45230</v>
      </c>
      <c r="F306" s="2" t="s">
        <v>32</v>
      </c>
      <c r="G306" s="2" t="s">
        <v>27</v>
      </c>
      <c r="H306" s="2" t="s">
        <v>28</v>
      </c>
      <c r="I306" s="2">
        <v>0</v>
      </c>
      <c r="J306" s="2">
        <v>5365.1</v>
      </c>
      <c r="K306" s="2">
        <v>5365.1</v>
      </c>
      <c r="L306" s="2" t="s">
        <v>45</v>
      </c>
      <c r="M306" s="5" t="s">
        <v>48</v>
      </c>
    </row>
    <row r="307" spans="1:13" x14ac:dyDescent="0.35">
      <c r="A307" s="4">
        <v>806642</v>
      </c>
      <c r="B307" s="2">
        <v>8702414544</v>
      </c>
      <c r="C307" s="2" t="s">
        <v>4</v>
      </c>
      <c r="D307" s="2" t="s">
        <v>16</v>
      </c>
      <c r="E307" s="3">
        <v>45185</v>
      </c>
      <c r="F307" s="2" t="s">
        <v>21</v>
      </c>
      <c r="G307" s="2" t="s">
        <v>27</v>
      </c>
      <c r="H307" s="2" t="s">
        <v>28</v>
      </c>
      <c r="I307" s="2">
        <v>0</v>
      </c>
      <c r="J307" s="2">
        <v>527.79</v>
      </c>
      <c r="K307" s="2">
        <v>527.79</v>
      </c>
      <c r="L307" s="2" t="s">
        <v>55</v>
      </c>
      <c r="M307" s="5" t="s">
        <v>39</v>
      </c>
    </row>
    <row r="308" spans="1:13" x14ac:dyDescent="0.35">
      <c r="A308" s="4">
        <v>782535</v>
      </c>
      <c r="B308" s="2">
        <v>4245570982</v>
      </c>
      <c r="C308" s="2" t="s">
        <v>3</v>
      </c>
      <c r="D308" s="2" t="s">
        <v>19</v>
      </c>
      <c r="E308" s="3">
        <v>44103</v>
      </c>
      <c r="F308" s="2" t="s">
        <v>21</v>
      </c>
      <c r="G308" s="2" t="s">
        <v>22</v>
      </c>
      <c r="H308" s="2" t="s">
        <v>33</v>
      </c>
      <c r="I308" s="2">
        <v>278.97000000000003</v>
      </c>
      <c r="J308" s="2">
        <v>400.85</v>
      </c>
      <c r="K308" s="2">
        <v>121.88</v>
      </c>
      <c r="L308" s="2" t="s">
        <v>47</v>
      </c>
      <c r="M308" s="5" t="s">
        <v>38</v>
      </c>
    </row>
    <row r="309" spans="1:13" x14ac:dyDescent="0.35">
      <c r="A309" s="4">
        <v>712451</v>
      </c>
      <c r="B309" s="2">
        <v>7447874133</v>
      </c>
      <c r="C309" s="2" t="s">
        <v>3</v>
      </c>
      <c r="D309" s="2" t="s">
        <v>18</v>
      </c>
      <c r="E309" s="3">
        <v>44163</v>
      </c>
      <c r="F309" s="2" t="s">
        <v>25</v>
      </c>
      <c r="G309" s="2" t="s">
        <v>22</v>
      </c>
      <c r="H309" s="2" t="s">
        <v>23</v>
      </c>
      <c r="I309" s="2">
        <v>461.28</v>
      </c>
      <c r="J309" s="2">
        <v>5108.1400000000003</v>
      </c>
      <c r="K309" s="2">
        <v>4646.8599999999997</v>
      </c>
      <c r="L309" s="2" t="s">
        <v>37</v>
      </c>
      <c r="M309" s="5" t="s">
        <v>53</v>
      </c>
    </row>
    <row r="310" spans="1:13" x14ac:dyDescent="0.35">
      <c r="A310" s="4">
        <v>560824</v>
      </c>
      <c r="B310" s="2">
        <v>2370263881</v>
      </c>
      <c r="C310" s="2" t="s">
        <v>3</v>
      </c>
      <c r="D310" s="2" t="s">
        <v>18</v>
      </c>
      <c r="E310" s="3">
        <v>45221</v>
      </c>
      <c r="F310" s="2" t="s">
        <v>21</v>
      </c>
      <c r="G310" s="2" t="s">
        <v>27</v>
      </c>
      <c r="H310" s="2" t="s">
        <v>28</v>
      </c>
      <c r="I310" s="2">
        <v>0</v>
      </c>
      <c r="J310" s="2">
        <v>962.4</v>
      </c>
      <c r="K310" s="2">
        <v>962.4</v>
      </c>
      <c r="L310" s="2" t="s">
        <v>42</v>
      </c>
      <c r="M310" s="5" t="s">
        <v>54</v>
      </c>
    </row>
    <row r="311" spans="1:13" x14ac:dyDescent="0.35">
      <c r="A311" s="4">
        <v>434217</v>
      </c>
      <c r="B311" s="2">
        <v>9252958800</v>
      </c>
      <c r="C311" s="2" t="s">
        <v>3</v>
      </c>
      <c r="D311" s="2" t="s">
        <v>17</v>
      </c>
      <c r="E311" s="3">
        <v>44343</v>
      </c>
      <c r="F311" s="2" t="s">
        <v>32</v>
      </c>
      <c r="G311" s="2" t="s">
        <v>27</v>
      </c>
      <c r="H311" s="2" t="s">
        <v>28</v>
      </c>
      <c r="I311" s="2">
        <v>0</v>
      </c>
      <c r="J311" s="2">
        <v>4785.29</v>
      </c>
      <c r="K311" s="2">
        <v>4785.29</v>
      </c>
      <c r="L311" s="2" t="s">
        <v>55</v>
      </c>
      <c r="M311" s="5" t="s">
        <v>51</v>
      </c>
    </row>
    <row r="312" spans="1:13" x14ac:dyDescent="0.35">
      <c r="A312" s="4">
        <v>896806</v>
      </c>
      <c r="B312" s="2">
        <v>3587885883</v>
      </c>
      <c r="C312" s="2" t="s">
        <v>3</v>
      </c>
      <c r="D312" s="2" t="s">
        <v>18</v>
      </c>
      <c r="E312" s="3">
        <v>43754</v>
      </c>
      <c r="F312" s="2" t="s">
        <v>35</v>
      </c>
      <c r="G312" s="2" t="s">
        <v>27</v>
      </c>
      <c r="H312" s="2" t="s">
        <v>28</v>
      </c>
      <c r="I312" s="2">
        <v>0</v>
      </c>
      <c r="J312" s="2">
        <v>4110.63</v>
      </c>
      <c r="K312" s="2">
        <v>4110.63</v>
      </c>
      <c r="L312" s="2" t="s">
        <v>37</v>
      </c>
      <c r="M312" s="5" t="s">
        <v>49</v>
      </c>
    </row>
    <row r="313" spans="1:13" x14ac:dyDescent="0.35">
      <c r="A313" s="4">
        <v>565676</v>
      </c>
      <c r="B313" s="2">
        <v>1356242586</v>
      </c>
      <c r="C313" s="2" t="s">
        <v>4</v>
      </c>
      <c r="D313" s="2" t="s">
        <v>19</v>
      </c>
      <c r="E313" s="3">
        <v>43895</v>
      </c>
      <c r="F313" s="2" t="s">
        <v>35</v>
      </c>
      <c r="G313" s="2" t="s">
        <v>22</v>
      </c>
      <c r="H313" s="2" t="s">
        <v>33</v>
      </c>
      <c r="I313" s="2">
        <v>469.58</v>
      </c>
      <c r="J313" s="2">
        <v>279.26</v>
      </c>
      <c r="K313" s="2">
        <v>-190.32</v>
      </c>
      <c r="L313" s="2" t="s">
        <v>41</v>
      </c>
      <c r="M313" s="5" t="s">
        <v>51</v>
      </c>
    </row>
    <row r="314" spans="1:13" x14ac:dyDescent="0.35">
      <c r="A314" s="4">
        <v>768656</v>
      </c>
      <c r="B314" s="2">
        <v>8978114343</v>
      </c>
      <c r="C314" s="2" t="s">
        <v>4</v>
      </c>
      <c r="D314" s="2" t="s">
        <v>17</v>
      </c>
      <c r="E314" s="3">
        <v>44164</v>
      </c>
      <c r="F314" s="2" t="s">
        <v>32</v>
      </c>
      <c r="G314" s="2" t="s">
        <v>27</v>
      </c>
      <c r="H314" s="2" t="s">
        <v>28</v>
      </c>
      <c r="I314" s="2">
        <v>0</v>
      </c>
      <c r="J314" s="2">
        <v>5825.38</v>
      </c>
      <c r="K314" s="2">
        <v>5825.38</v>
      </c>
      <c r="L314" s="2" t="s">
        <v>43</v>
      </c>
      <c r="M314" s="5" t="s">
        <v>51</v>
      </c>
    </row>
    <row r="315" spans="1:13" x14ac:dyDescent="0.35">
      <c r="A315" s="4">
        <v>315621</v>
      </c>
      <c r="B315" s="2">
        <v>6125880761</v>
      </c>
      <c r="C315" s="2" t="s">
        <v>3</v>
      </c>
      <c r="D315" s="2" t="s">
        <v>16</v>
      </c>
      <c r="E315" s="3">
        <v>44807</v>
      </c>
      <c r="F315" s="2" t="s">
        <v>35</v>
      </c>
      <c r="G315" s="2" t="s">
        <v>22</v>
      </c>
      <c r="H315" s="2" t="s">
        <v>31</v>
      </c>
      <c r="I315" s="2">
        <v>91.86</v>
      </c>
      <c r="J315" s="2">
        <v>5045.3599999999997</v>
      </c>
      <c r="K315" s="2">
        <v>4953.5</v>
      </c>
      <c r="L315" s="2" t="s">
        <v>37</v>
      </c>
      <c r="M315" s="5" t="s">
        <v>51</v>
      </c>
    </row>
    <row r="316" spans="1:13" x14ac:dyDescent="0.35">
      <c r="A316" s="4">
        <v>176231</v>
      </c>
      <c r="B316" s="2">
        <v>3099636955</v>
      </c>
      <c r="C316" s="2" t="s">
        <v>4</v>
      </c>
      <c r="D316" s="2" t="s">
        <v>16</v>
      </c>
      <c r="E316" s="3">
        <v>43888</v>
      </c>
      <c r="F316" s="2" t="s">
        <v>32</v>
      </c>
      <c r="G316" s="2" t="s">
        <v>22</v>
      </c>
      <c r="H316" s="2" t="s">
        <v>23</v>
      </c>
      <c r="I316" s="2">
        <v>227.46</v>
      </c>
      <c r="J316" s="2">
        <v>2695.97</v>
      </c>
      <c r="K316" s="2">
        <v>2468.5100000000002</v>
      </c>
      <c r="L316" s="2" t="s">
        <v>41</v>
      </c>
      <c r="M316" s="5" t="s">
        <v>49</v>
      </c>
    </row>
    <row r="317" spans="1:13" x14ac:dyDescent="0.35">
      <c r="A317" s="4">
        <v>130610</v>
      </c>
      <c r="B317" s="2">
        <v>8123833948</v>
      </c>
      <c r="C317" s="2" t="s">
        <v>4</v>
      </c>
      <c r="D317" s="2" t="s">
        <v>18</v>
      </c>
      <c r="E317" s="3">
        <v>45176</v>
      </c>
      <c r="F317" s="2" t="s">
        <v>5</v>
      </c>
      <c r="G317" s="2" t="s">
        <v>27</v>
      </c>
      <c r="H317" s="2" t="s">
        <v>28</v>
      </c>
      <c r="I317" s="2">
        <v>0</v>
      </c>
      <c r="J317" s="2">
        <v>3832.4</v>
      </c>
      <c r="K317" s="2">
        <v>3832.4</v>
      </c>
      <c r="L317" s="2" t="s">
        <v>37</v>
      </c>
      <c r="M317" s="5" t="s">
        <v>40</v>
      </c>
    </row>
    <row r="318" spans="1:13" x14ac:dyDescent="0.35">
      <c r="A318" s="4">
        <v>137429</v>
      </c>
      <c r="B318" s="2">
        <v>9527466935</v>
      </c>
      <c r="C318" s="2" t="s">
        <v>3</v>
      </c>
      <c r="D318" s="2" t="s">
        <v>18</v>
      </c>
      <c r="E318" s="3">
        <v>44019</v>
      </c>
      <c r="F318" s="2" t="s">
        <v>21</v>
      </c>
      <c r="G318" s="2" t="s">
        <v>22</v>
      </c>
      <c r="H318" s="2" t="s">
        <v>33</v>
      </c>
      <c r="I318" s="2">
        <v>123.97</v>
      </c>
      <c r="J318" s="2">
        <v>2277.8000000000002</v>
      </c>
      <c r="K318" s="2">
        <v>2153.83</v>
      </c>
      <c r="L318" s="2" t="s">
        <v>37</v>
      </c>
      <c r="M318" s="5" t="s">
        <v>44</v>
      </c>
    </row>
    <row r="319" spans="1:13" x14ac:dyDescent="0.35">
      <c r="A319" s="4">
        <v>904243</v>
      </c>
      <c r="B319" s="2">
        <v>9174572861</v>
      </c>
      <c r="C319" s="2" t="s">
        <v>3</v>
      </c>
      <c r="D319" s="2" t="s">
        <v>16</v>
      </c>
      <c r="E319" s="3">
        <v>44101</v>
      </c>
      <c r="F319" s="2" t="s">
        <v>25</v>
      </c>
      <c r="G319" s="2" t="s">
        <v>22</v>
      </c>
      <c r="H319" s="2" t="s">
        <v>33</v>
      </c>
      <c r="I319" s="2">
        <v>413.42</v>
      </c>
      <c r="J319" s="2">
        <v>1792.05</v>
      </c>
      <c r="K319" s="2">
        <v>1378.63</v>
      </c>
      <c r="L319" s="2" t="s">
        <v>47</v>
      </c>
      <c r="M319" s="5" t="s">
        <v>39</v>
      </c>
    </row>
    <row r="320" spans="1:13" x14ac:dyDescent="0.35">
      <c r="A320" s="4">
        <v>848022</v>
      </c>
      <c r="B320" s="2">
        <v>3038978817</v>
      </c>
      <c r="C320" s="2" t="s">
        <v>3</v>
      </c>
      <c r="D320" s="2" t="s">
        <v>16</v>
      </c>
      <c r="E320" s="3">
        <v>44573</v>
      </c>
      <c r="F320" s="2" t="s">
        <v>32</v>
      </c>
      <c r="G320" s="2" t="s">
        <v>27</v>
      </c>
      <c r="H320" s="2" t="s">
        <v>28</v>
      </c>
      <c r="I320" s="2">
        <v>0</v>
      </c>
      <c r="J320" s="2">
        <v>4250.8500000000004</v>
      </c>
      <c r="K320" s="2">
        <v>4250.8500000000004</v>
      </c>
      <c r="L320" s="2" t="s">
        <v>37</v>
      </c>
      <c r="M320" s="5" t="s">
        <v>57</v>
      </c>
    </row>
    <row r="321" spans="1:13" x14ac:dyDescent="0.35">
      <c r="A321" s="4">
        <v>711561</v>
      </c>
      <c r="B321" s="2">
        <v>7914527549</v>
      </c>
      <c r="C321" s="2" t="s">
        <v>3</v>
      </c>
      <c r="D321" s="2" t="s">
        <v>16</v>
      </c>
      <c r="E321" s="3">
        <v>44843</v>
      </c>
      <c r="F321" s="2" t="s">
        <v>5</v>
      </c>
      <c r="G321" s="2" t="s">
        <v>22</v>
      </c>
      <c r="H321" s="2" t="s">
        <v>33</v>
      </c>
      <c r="I321" s="2">
        <v>95.86</v>
      </c>
      <c r="J321" s="2">
        <v>4829.9799999999996</v>
      </c>
      <c r="K321" s="2">
        <v>4734.12</v>
      </c>
      <c r="L321" s="2" t="s">
        <v>37</v>
      </c>
      <c r="M321" s="5" t="s">
        <v>39</v>
      </c>
    </row>
    <row r="322" spans="1:13" x14ac:dyDescent="0.35">
      <c r="A322" s="4">
        <v>699378</v>
      </c>
      <c r="B322" s="2">
        <v>8610169802</v>
      </c>
      <c r="C322" s="2" t="s">
        <v>3</v>
      </c>
      <c r="D322" s="2" t="s">
        <v>18</v>
      </c>
      <c r="E322" s="3">
        <v>44978</v>
      </c>
      <c r="F322" s="2" t="s">
        <v>32</v>
      </c>
      <c r="G322" s="2" t="s">
        <v>27</v>
      </c>
      <c r="H322" s="2" t="s">
        <v>28</v>
      </c>
      <c r="I322" s="2">
        <v>0</v>
      </c>
      <c r="J322" s="2">
        <v>3548.05</v>
      </c>
      <c r="K322" s="2">
        <v>3548.05</v>
      </c>
      <c r="L322" s="2" t="s">
        <v>55</v>
      </c>
      <c r="M322" s="5" t="s">
        <v>54</v>
      </c>
    </row>
    <row r="323" spans="1:13" x14ac:dyDescent="0.35">
      <c r="A323" s="4">
        <v>810614</v>
      </c>
      <c r="B323" s="2">
        <v>8600654311</v>
      </c>
      <c r="C323" s="2" t="s">
        <v>4</v>
      </c>
      <c r="D323" s="2" t="s">
        <v>20</v>
      </c>
      <c r="E323" s="3">
        <v>45080</v>
      </c>
      <c r="F323" s="2" t="s">
        <v>21</v>
      </c>
      <c r="G323" s="2" t="s">
        <v>27</v>
      </c>
      <c r="H323" s="2" t="s">
        <v>28</v>
      </c>
      <c r="I323" s="2">
        <v>0</v>
      </c>
      <c r="J323" s="2">
        <v>4645.6099999999997</v>
      </c>
      <c r="K323" s="2">
        <v>4645.6099999999997</v>
      </c>
      <c r="L323" s="2" t="s">
        <v>50</v>
      </c>
      <c r="M323" s="5" t="s">
        <v>51</v>
      </c>
    </row>
    <row r="324" spans="1:13" x14ac:dyDescent="0.35">
      <c r="A324" s="4">
        <v>497030</v>
      </c>
      <c r="B324" s="2">
        <v>2271291557</v>
      </c>
      <c r="C324" s="2" t="s">
        <v>5</v>
      </c>
      <c r="D324" s="2" t="s">
        <v>20</v>
      </c>
      <c r="E324" s="3">
        <v>44693</v>
      </c>
      <c r="F324" s="2" t="s">
        <v>32</v>
      </c>
      <c r="G324" s="2" t="s">
        <v>22</v>
      </c>
      <c r="H324" s="2" t="s">
        <v>29</v>
      </c>
      <c r="I324" s="2">
        <v>244.92</v>
      </c>
      <c r="J324" s="2">
        <v>5898.22</v>
      </c>
      <c r="K324" s="2">
        <v>5653.3</v>
      </c>
      <c r="L324" s="2" t="s">
        <v>37</v>
      </c>
      <c r="M324" s="5" t="s">
        <v>39</v>
      </c>
    </row>
    <row r="325" spans="1:13" x14ac:dyDescent="0.35">
      <c r="A325" s="4">
        <v>488399</v>
      </c>
      <c r="B325" s="2">
        <v>2007293126</v>
      </c>
      <c r="C325" s="2" t="s">
        <v>3</v>
      </c>
      <c r="D325" s="2" t="s">
        <v>18</v>
      </c>
      <c r="E325" s="3">
        <v>44620</v>
      </c>
      <c r="F325" s="2" t="s">
        <v>26</v>
      </c>
      <c r="G325" s="2" t="s">
        <v>27</v>
      </c>
      <c r="H325" s="2" t="s">
        <v>28</v>
      </c>
      <c r="I325" s="2">
        <v>0</v>
      </c>
      <c r="J325" s="2">
        <v>2261.11</v>
      </c>
      <c r="K325" s="2">
        <v>2261.11</v>
      </c>
      <c r="L325" s="2" t="s">
        <v>37</v>
      </c>
      <c r="M325" s="5" t="s">
        <v>51</v>
      </c>
    </row>
    <row r="326" spans="1:13" x14ac:dyDescent="0.35">
      <c r="A326" s="4">
        <v>791354</v>
      </c>
      <c r="B326" s="2">
        <v>8640655277</v>
      </c>
      <c r="C326" s="2" t="s">
        <v>3</v>
      </c>
      <c r="D326" s="2" t="s">
        <v>18</v>
      </c>
      <c r="E326" s="3">
        <v>43688</v>
      </c>
      <c r="F326" s="2" t="s">
        <v>35</v>
      </c>
      <c r="G326" s="2" t="s">
        <v>27</v>
      </c>
      <c r="H326" s="2" t="s">
        <v>28</v>
      </c>
      <c r="I326" s="2">
        <v>0</v>
      </c>
      <c r="J326" s="2">
        <v>579.48</v>
      </c>
      <c r="K326" s="2">
        <v>579.48</v>
      </c>
      <c r="L326" s="2" t="s">
        <v>37</v>
      </c>
      <c r="M326" s="5" t="s">
        <v>39</v>
      </c>
    </row>
    <row r="327" spans="1:13" x14ac:dyDescent="0.35">
      <c r="A327" s="4">
        <v>114286</v>
      </c>
      <c r="B327" s="2">
        <v>9664947919</v>
      </c>
      <c r="C327" s="2" t="s">
        <v>4</v>
      </c>
      <c r="D327" s="2" t="s">
        <v>19</v>
      </c>
      <c r="E327" s="3">
        <v>44572</v>
      </c>
      <c r="F327" s="2" t="s">
        <v>25</v>
      </c>
      <c r="G327" s="2" t="s">
        <v>22</v>
      </c>
      <c r="H327" s="2" t="s">
        <v>29</v>
      </c>
      <c r="I327" s="2">
        <v>401.86</v>
      </c>
      <c r="J327" s="2">
        <v>2828.08</v>
      </c>
      <c r="K327" s="2">
        <v>2426.2199999999998</v>
      </c>
      <c r="L327" s="2" t="s">
        <v>41</v>
      </c>
      <c r="M327" s="5" t="s">
        <v>40</v>
      </c>
    </row>
    <row r="328" spans="1:13" x14ac:dyDescent="0.35">
      <c r="A328" s="4">
        <v>101544</v>
      </c>
      <c r="B328" s="2">
        <v>1654291617</v>
      </c>
      <c r="C328" s="2" t="s">
        <v>5</v>
      </c>
      <c r="D328" s="2" t="s">
        <v>18</v>
      </c>
      <c r="E328" s="3">
        <v>44836</v>
      </c>
      <c r="F328" s="2" t="s">
        <v>25</v>
      </c>
      <c r="G328" s="2" t="s">
        <v>22</v>
      </c>
      <c r="H328" s="2" t="s">
        <v>24</v>
      </c>
      <c r="I328" s="2">
        <v>148.56</v>
      </c>
      <c r="J328" s="2">
        <v>4393.33</v>
      </c>
      <c r="K328" s="2">
        <v>4244.7700000000004</v>
      </c>
      <c r="L328" s="2" t="s">
        <v>41</v>
      </c>
      <c r="M328" s="5" t="s">
        <v>40</v>
      </c>
    </row>
    <row r="329" spans="1:13" x14ac:dyDescent="0.35">
      <c r="A329" s="4">
        <v>663852</v>
      </c>
      <c r="B329" s="2">
        <v>5058642877</v>
      </c>
      <c r="C329" s="2" t="s">
        <v>3</v>
      </c>
      <c r="D329" s="2" t="s">
        <v>19</v>
      </c>
      <c r="E329" s="3">
        <v>44907</v>
      </c>
      <c r="F329" s="2" t="s">
        <v>5</v>
      </c>
      <c r="G329" s="2" t="s">
        <v>22</v>
      </c>
      <c r="H329" s="2" t="s">
        <v>33</v>
      </c>
      <c r="I329" s="2">
        <v>345.59</v>
      </c>
      <c r="J329" s="2">
        <v>2322.6799999999998</v>
      </c>
      <c r="K329" s="2">
        <v>1977.09</v>
      </c>
      <c r="L329" s="2" t="s">
        <v>41</v>
      </c>
      <c r="M329" s="5" t="s">
        <v>5</v>
      </c>
    </row>
    <row r="330" spans="1:13" x14ac:dyDescent="0.35">
      <c r="A330" s="4">
        <v>380310</v>
      </c>
      <c r="B330" s="2">
        <v>2565641348</v>
      </c>
      <c r="C330" s="2" t="s">
        <v>5</v>
      </c>
      <c r="D330" s="2" t="s">
        <v>17</v>
      </c>
      <c r="E330" s="3">
        <v>45153</v>
      </c>
      <c r="F330" s="2" t="s">
        <v>36</v>
      </c>
      <c r="G330" s="2" t="s">
        <v>22</v>
      </c>
      <c r="H330" s="2" t="s">
        <v>33</v>
      </c>
      <c r="I330" s="2">
        <v>316.63</v>
      </c>
      <c r="J330" s="2">
        <v>4872.1400000000003</v>
      </c>
      <c r="K330" s="2">
        <v>4555.51</v>
      </c>
      <c r="L330" s="2" t="s">
        <v>41</v>
      </c>
      <c r="M330" s="5" t="s">
        <v>40</v>
      </c>
    </row>
    <row r="331" spans="1:13" x14ac:dyDescent="0.35">
      <c r="A331" s="4">
        <v>593091</v>
      </c>
      <c r="B331" s="2">
        <v>3680673764</v>
      </c>
      <c r="C331" s="2" t="s">
        <v>5</v>
      </c>
      <c r="D331" s="2" t="s">
        <v>19</v>
      </c>
      <c r="E331" s="3">
        <v>44381</v>
      </c>
      <c r="F331" s="2" t="s">
        <v>21</v>
      </c>
      <c r="G331" s="2" t="s">
        <v>22</v>
      </c>
      <c r="H331" s="2" t="s">
        <v>31</v>
      </c>
      <c r="I331" s="2">
        <v>414.68</v>
      </c>
      <c r="J331" s="2">
        <v>5342.02</v>
      </c>
      <c r="K331" s="2">
        <v>4927.34</v>
      </c>
      <c r="L331" s="2" t="s">
        <v>45</v>
      </c>
      <c r="M331" s="5" t="s">
        <v>49</v>
      </c>
    </row>
    <row r="332" spans="1:13" x14ac:dyDescent="0.35">
      <c r="A332" s="4">
        <v>173115</v>
      </c>
      <c r="B332" s="2">
        <v>9968937503</v>
      </c>
      <c r="C332" s="2" t="s">
        <v>3</v>
      </c>
      <c r="D332" s="2" t="s">
        <v>18</v>
      </c>
      <c r="E332" s="3">
        <v>44170</v>
      </c>
      <c r="F332" s="2" t="s">
        <v>25</v>
      </c>
      <c r="G332" s="2" t="s">
        <v>27</v>
      </c>
      <c r="H332" s="2" t="s">
        <v>28</v>
      </c>
      <c r="I332" s="2">
        <v>0</v>
      </c>
      <c r="J332" s="2">
        <v>160.97999999999999</v>
      </c>
      <c r="K332" s="2">
        <v>160.97999999999999</v>
      </c>
      <c r="L332" s="2" t="s">
        <v>37</v>
      </c>
      <c r="M332" s="5" t="s">
        <v>40</v>
      </c>
    </row>
    <row r="333" spans="1:13" x14ac:dyDescent="0.35">
      <c r="A333" s="4">
        <v>538738</v>
      </c>
      <c r="B333" s="2">
        <v>8560169159</v>
      </c>
      <c r="C333" s="2" t="s">
        <v>5</v>
      </c>
      <c r="D333" s="2" t="s">
        <v>19</v>
      </c>
      <c r="E333" s="3">
        <v>44485</v>
      </c>
      <c r="F333" s="2" t="s">
        <v>25</v>
      </c>
      <c r="G333" s="2" t="s">
        <v>22</v>
      </c>
      <c r="H333" s="2" t="s">
        <v>33</v>
      </c>
      <c r="I333" s="2">
        <v>313.97000000000003</v>
      </c>
      <c r="J333" s="2">
        <v>5564.23</v>
      </c>
      <c r="K333" s="2">
        <v>5250.26</v>
      </c>
      <c r="L333" s="2" t="s">
        <v>37</v>
      </c>
      <c r="M333" s="5" t="s">
        <v>48</v>
      </c>
    </row>
    <row r="334" spans="1:13" x14ac:dyDescent="0.35">
      <c r="A334" s="4">
        <v>594241</v>
      </c>
      <c r="B334" s="2">
        <v>4021167716</v>
      </c>
      <c r="C334" s="2" t="s">
        <v>5</v>
      </c>
      <c r="D334" s="2" t="s">
        <v>16</v>
      </c>
      <c r="E334" s="3">
        <v>45152</v>
      </c>
      <c r="F334" s="2" t="s">
        <v>32</v>
      </c>
      <c r="G334" s="2" t="s">
        <v>27</v>
      </c>
      <c r="H334" s="2" t="s">
        <v>28</v>
      </c>
      <c r="I334" s="2">
        <v>0</v>
      </c>
      <c r="J334" s="2">
        <v>3590.62</v>
      </c>
      <c r="K334" s="2">
        <v>3590.62</v>
      </c>
      <c r="L334" s="2" t="s">
        <v>55</v>
      </c>
      <c r="M334" s="5" t="s">
        <v>53</v>
      </c>
    </row>
    <row r="335" spans="1:13" x14ac:dyDescent="0.35">
      <c r="A335" s="4">
        <v>621480</v>
      </c>
      <c r="B335" s="2">
        <v>5386240502</v>
      </c>
      <c r="C335" s="2" t="s">
        <v>3</v>
      </c>
      <c r="D335" s="2" t="s">
        <v>19</v>
      </c>
      <c r="E335" s="3">
        <v>44611</v>
      </c>
      <c r="F335" s="2" t="s">
        <v>21</v>
      </c>
      <c r="G335" s="2" t="s">
        <v>27</v>
      </c>
      <c r="H335" s="2" t="s">
        <v>28</v>
      </c>
      <c r="I335" s="2">
        <v>0</v>
      </c>
      <c r="J335" s="2">
        <v>3224.3</v>
      </c>
      <c r="K335" s="2">
        <v>3224.3</v>
      </c>
      <c r="L335" s="2" t="s">
        <v>37</v>
      </c>
      <c r="M335" s="5" t="s">
        <v>54</v>
      </c>
    </row>
    <row r="336" spans="1:13" x14ac:dyDescent="0.35">
      <c r="A336" s="4">
        <v>795350</v>
      </c>
      <c r="B336" s="2">
        <v>6339703745</v>
      </c>
      <c r="C336" s="2" t="s">
        <v>5</v>
      </c>
      <c r="D336" s="2" t="s">
        <v>16</v>
      </c>
      <c r="E336" s="3">
        <v>43883</v>
      </c>
      <c r="F336" s="2" t="s">
        <v>35</v>
      </c>
      <c r="G336" s="2" t="s">
        <v>22</v>
      </c>
      <c r="H336" s="2" t="s">
        <v>24</v>
      </c>
      <c r="I336" s="2">
        <v>380.3</v>
      </c>
      <c r="J336" s="2">
        <v>1408.73</v>
      </c>
      <c r="K336" s="2">
        <v>1028.43</v>
      </c>
      <c r="L336" s="2" t="s">
        <v>43</v>
      </c>
      <c r="M336" s="5" t="s">
        <v>40</v>
      </c>
    </row>
    <row r="337" spans="1:13" x14ac:dyDescent="0.35">
      <c r="A337" s="4">
        <v>861173</v>
      </c>
      <c r="B337" s="2">
        <v>4273894820</v>
      </c>
      <c r="C337" s="2" t="s">
        <v>5</v>
      </c>
      <c r="D337" s="2" t="s">
        <v>16</v>
      </c>
      <c r="E337" s="3">
        <v>44766</v>
      </c>
      <c r="F337" s="2" t="s">
        <v>36</v>
      </c>
      <c r="G337" s="2" t="s">
        <v>22</v>
      </c>
      <c r="H337" s="2" t="s">
        <v>33</v>
      </c>
      <c r="I337" s="2">
        <v>193.2</v>
      </c>
      <c r="J337" s="2">
        <v>4215.25</v>
      </c>
      <c r="K337" s="2">
        <v>4022.05</v>
      </c>
      <c r="L337" s="2" t="s">
        <v>42</v>
      </c>
      <c r="M337" s="5" t="s">
        <v>5</v>
      </c>
    </row>
    <row r="338" spans="1:13" x14ac:dyDescent="0.35">
      <c r="A338" s="4">
        <v>699951</v>
      </c>
      <c r="B338" s="2">
        <v>1490869240</v>
      </c>
      <c r="C338" s="2" t="s">
        <v>4</v>
      </c>
      <c r="D338" s="2" t="s">
        <v>18</v>
      </c>
      <c r="E338" s="3">
        <v>44719</v>
      </c>
      <c r="F338" s="2" t="s">
        <v>21</v>
      </c>
      <c r="G338" s="2" t="s">
        <v>27</v>
      </c>
      <c r="H338" s="2" t="s">
        <v>28</v>
      </c>
      <c r="I338" s="2">
        <v>0</v>
      </c>
      <c r="J338" s="2">
        <v>5086.55</v>
      </c>
      <c r="K338" s="2">
        <v>5086.55</v>
      </c>
      <c r="L338" s="2" t="s">
        <v>41</v>
      </c>
      <c r="M338" s="5" t="s">
        <v>51</v>
      </c>
    </row>
    <row r="339" spans="1:13" x14ac:dyDescent="0.35">
      <c r="A339" s="4">
        <v>526777</v>
      </c>
      <c r="B339" s="2">
        <v>9749457694</v>
      </c>
      <c r="C339" s="2" t="s">
        <v>4</v>
      </c>
      <c r="D339" s="2" t="s">
        <v>16</v>
      </c>
      <c r="E339" s="3">
        <v>44026</v>
      </c>
      <c r="F339" s="2" t="s">
        <v>5</v>
      </c>
      <c r="G339" s="2" t="s">
        <v>27</v>
      </c>
      <c r="H339" s="2" t="s">
        <v>28</v>
      </c>
      <c r="I339" s="2">
        <v>0</v>
      </c>
      <c r="J339" s="2">
        <v>2188.77</v>
      </c>
      <c r="K339" s="2">
        <v>2188.77</v>
      </c>
      <c r="L339" s="2" t="s">
        <v>50</v>
      </c>
      <c r="M339" s="5" t="s">
        <v>44</v>
      </c>
    </row>
    <row r="340" spans="1:13" x14ac:dyDescent="0.35">
      <c r="A340" s="4">
        <v>627900</v>
      </c>
      <c r="B340" s="2">
        <v>1188361043</v>
      </c>
      <c r="C340" s="2" t="s">
        <v>3</v>
      </c>
      <c r="D340" s="2" t="s">
        <v>19</v>
      </c>
      <c r="E340" s="3">
        <v>44987</v>
      </c>
      <c r="F340" s="2" t="s">
        <v>26</v>
      </c>
      <c r="G340" s="2" t="s">
        <v>22</v>
      </c>
      <c r="H340" s="2" t="s">
        <v>24</v>
      </c>
      <c r="I340" s="2">
        <v>379.66</v>
      </c>
      <c r="J340" s="2">
        <v>4947.1400000000003</v>
      </c>
      <c r="K340" s="2">
        <v>4567.4799999999996</v>
      </c>
      <c r="L340" s="2" t="s">
        <v>37</v>
      </c>
      <c r="M340" s="5" t="s">
        <v>44</v>
      </c>
    </row>
    <row r="341" spans="1:13" x14ac:dyDescent="0.35">
      <c r="A341" s="4">
        <v>223815</v>
      </c>
      <c r="B341" s="2">
        <v>4906403575</v>
      </c>
      <c r="C341" s="2" t="s">
        <v>4</v>
      </c>
      <c r="D341" s="2" t="s">
        <v>18</v>
      </c>
      <c r="E341" s="3">
        <v>45029</v>
      </c>
      <c r="F341" s="2" t="s">
        <v>25</v>
      </c>
      <c r="G341" s="2" t="s">
        <v>22</v>
      </c>
      <c r="H341" s="2" t="s">
        <v>33</v>
      </c>
      <c r="I341" s="2">
        <v>83.17</v>
      </c>
      <c r="J341" s="2">
        <v>5102.34</v>
      </c>
      <c r="K341" s="2">
        <v>5019.17</v>
      </c>
      <c r="L341" s="2" t="s">
        <v>41</v>
      </c>
      <c r="M341" s="5" t="s">
        <v>39</v>
      </c>
    </row>
    <row r="342" spans="1:13" x14ac:dyDescent="0.35">
      <c r="A342" s="4">
        <v>870137</v>
      </c>
      <c r="B342" s="2">
        <v>1038282607</v>
      </c>
      <c r="C342" s="2" t="s">
        <v>3</v>
      </c>
      <c r="D342" s="2" t="s">
        <v>18</v>
      </c>
      <c r="E342" s="3">
        <v>45323</v>
      </c>
      <c r="F342" s="2" t="s">
        <v>21</v>
      </c>
      <c r="G342" s="2" t="s">
        <v>22</v>
      </c>
      <c r="H342" s="2" t="s">
        <v>31</v>
      </c>
      <c r="I342" s="2">
        <v>296.17</v>
      </c>
      <c r="J342" s="2">
        <v>5069.1400000000003</v>
      </c>
      <c r="K342" s="2">
        <v>4772.97</v>
      </c>
      <c r="L342" s="2" t="s">
        <v>37</v>
      </c>
      <c r="M342" s="5" t="s">
        <v>48</v>
      </c>
    </row>
    <row r="343" spans="1:13" x14ac:dyDescent="0.35">
      <c r="A343" s="4">
        <v>836201</v>
      </c>
      <c r="B343" s="2">
        <v>1140431292</v>
      </c>
      <c r="C343" s="2" t="s">
        <v>4</v>
      </c>
      <c r="D343" s="2" t="s">
        <v>16</v>
      </c>
      <c r="E343" s="3">
        <v>44974</v>
      </c>
      <c r="F343" s="2" t="s">
        <v>5</v>
      </c>
      <c r="G343" s="2" t="s">
        <v>22</v>
      </c>
      <c r="H343" s="2" t="s">
        <v>23</v>
      </c>
      <c r="I343" s="2">
        <v>245.39</v>
      </c>
      <c r="J343" s="2">
        <v>417.95</v>
      </c>
      <c r="K343" s="2">
        <v>172.56</v>
      </c>
      <c r="L343" s="2" t="s">
        <v>43</v>
      </c>
      <c r="M343" s="5" t="s">
        <v>39</v>
      </c>
    </row>
    <row r="344" spans="1:13" x14ac:dyDescent="0.35">
      <c r="A344" s="4">
        <v>796117</v>
      </c>
      <c r="B344" s="2">
        <v>4667432589</v>
      </c>
      <c r="C344" s="2" t="s">
        <v>3</v>
      </c>
      <c r="D344" s="2" t="s">
        <v>16</v>
      </c>
      <c r="E344" s="3">
        <v>44324</v>
      </c>
      <c r="F344" s="2" t="s">
        <v>21</v>
      </c>
      <c r="G344" s="2" t="s">
        <v>27</v>
      </c>
      <c r="H344" s="2" t="s">
        <v>28</v>
      </c>
      <c r="I344" s="2">
        <v>0</v>
      </c>
      <c r="J344" s="2">
        <v>3689.29</v>
      </c>
      <c r="K344" s="2">
        <v>3689.29</v>
      </c>
      <c r="L344" s="2" t="s">
        <v>45</v>
      </c>
      <c r="M344" s="5" t="s">
        <v>44</v>
      </c>
    </row>
    <row r="345" spans="1:13" x14ac:dyDescent="0.35">
      <c r="A345" s="4">
        <v>518832</v>
      </c>
      <c r="B345" s="2">
        <v>6663535015</v>
      </c>
      <c r="C345" s="2" t="s">
        <v>3</v>
      </c>
      <c r="D345" s="2" t="s">
        <v>19</v>
      </c>
      <c r="E345" s="3">
        <v>45304</v>
      </c>
      <c r="F345" s="2" t="s">
        <v>21</v>
      </c>
      <c r="G345" s="2" t="s">
        <v>27</v>
      </c>
      <c r="H345" s="2" t="s">
        <v>28</v>
      </c>
      <c r="I345" s="2">
        <v>0</v>
      </c>
      <c r="J345" s="2">
        <v>189.57</v>
      </c>
      <c r="K345" s="2">
        <v>189.57</v>
      </c>
      <c r="L345" s="2" t="s">
        <v>41</v>
      </c>
      <c r="M345" s="5" t="s">
        <v>51</v>
      </c>
    </row>
    <row r="346" spans="1:13" x14ac:dyDescent="0.35">
      <c r="A346" s="4">
        <v>207697</v>
      </c>
      <c r="B346" s="2">
        <v>6184094209</v>
      </c>
      <c r="C346" s="2" t="s">
        <v>3</v>
      </c>
      <c r="D346" s="2" t="s">
        <v>18</v>
      </c>
      <c r="E346" s="3">
        <v>45256</v>
      </c>
      <c r="F346" s="2" t="s">
        <v>26</v>
      </c>
      <c r="G346" s="2" t="s">
        <v>22</v>
      </c>
      <c r="H346" s="2" t="s">
        <v>23</v>
      </c>
      <c r="I346" s="2">
        <v>489.68</v>
      </c>
      <c r="J346" s="2">
        <v>3817.04</v>
      </c>
      <c r="K346" s="2">
        <v>3327.36</v>
      </c>
      <c r="L346" s="2" t="s">
        <v>41</v>
      </c>
      <c r="M346" s="5" t="s">
        <v>51</v>
      </c>
    </row>
    <row r="347" spans="1:13" x14ac:dyDescent="0.35">
      <c r="A347" s="4">
        <v>215717</v>
      </c>
      <c r="B347" s="2">
        <v>4841551461</v>
      </c>
      <c r="C347" s="2" t="s">
        <v>3</v>
      </c>
      <c r="D347" s="2" t="s">
        <v>16</v>
      </c>
      <c r="E347" s="3">
        <v>44308</v>
      </c>
      <c r="F347" s="2" t="s">
        <v>25</v>
      </c>
      <c r="G347" s="2" t="s">
        <v>27</v>
      </c>
      <c r="H347" s="2" t="s">
        <v>28</v>
      </c>
      <c r="I347" s="2">
        <v>0</v>
      </c>
      <c r="J347" s="2">
        <v>1151.3399999999999</v>
      </c>
      <c r="K347" s="2">
        <v>1151.3399999999999</v>
      </c>
      <c r="L347" s="2" t="s">
        <v>41</v>
      </c>
      <c r="M347" s="5" t="s">
        <v>51</v>
      </c>
    </row>
    <row r="348" spans="1:13" x14ac:dyDescent="0.35">
      <c r="A348" s="4">
        <v>833675</v>
      </c>
      <c r="B348" s="2">
        <v>5757951685</v>
      </c>
      <c r="C348" s="2" t="s">
        <v>4</v>
      </c>
      <c r="D348" s="2" t="s">
        <v>16</v>
      </c>
      <c r="E348" s="3">
        <v>45499</v>
      </c>
      <c r="F348" s="2" t="s">
        <v>25</v>
      </c>
      <c r="G348" s="2" t="s">
        <v>27</v>
      </c>
      <c r="H348" s="2" t="s">
        <v>28</v>
      </c>
      <c r="I348" s="2">
        <v>0</v>
      </c>
      <c r="J348" s="2">
        <v>3247.43</v>
      </c>
      <c r="K348" s="2">
        <v>3247.43</v>
      </c>
      <c r="L348" s="2" t="s">
        <v>37</v>
      </c>
      <c r="M348" s="5" t="s">
        <v>40</v>
      </c>
    </row>
    <row r="349" spans="1:13" x14ac:dyDescent="0.35">
      <c r="A349" s="4">
        <v>867333</v>
      </c>
      <c r="B349" s="2">
        <v>7025494053</v>
      </c>
      <c r="C349" s="2" t="s">
        <v>5</v>
      </c>
      <c r="D349" s="2" t="s">
        <v>18</v>
      </c>
      <c r="E349" s="3">
        <v>45498</v>
      </c>
      <c r="F349" s="2" t="s">
        <v>26</v>
      </c>
      <c r="G349" s="2" t="s">
        <v>22</v>
      </c>
      <c r="H349" s="2" t="s">
        <v>23</v>
      </c>
      <c r="I349" s="2">
        <v>428.36</v>
      </c>
      <c r="J349" s="2">
        <v>4634.18</v>
      </c>
      <c r="K349" s="2">
        <v>4205.82</v>
      </c>
      <c r="L349" s="2" t="s">
        <v>37</v>
      </c>
      <c r="M349" s="5" t="s">
        <v>39</v>
      </c>
    </row>
    <row r="350" spans="1:13" x14ac:dyDescent="0.35">
      <c r="A350" s="4">
        <v>150120</v>
      </c>
      <c r="B350" s="2">
        <v>6377939469</v>
      </c>
      <c r="C350" s="2" t="s">
        <v>5</v>
      </c>
      <c r="D350" s="2" t="s">
        <v>16</v>
      </c>
      <c r="E350" s="3">
        <v>44510</v>
      </c>
      <c r="F350" s="2" t="s">
        <v>26</v>
      </c>
      <c r="G350" s="2" t="s">
        <v>27</v>
      </c>
      <c r="H350" s="2" t="s">
        <v>28</v>
      </c>
      <c r="I350" s="2">
        <v>0</v>
      </c>
      <c r="J350" s="2">
        <v>644.85</v>
      </c>
      <c r="K350" s="2">
        <v>644.85</v>
      </c>
      <c r="L350" s="2" t="s">
        <v>42</v>
      </c>
      <c r="M350" s="5" t="s">
        <v>40</v>
      </c>
    </row>
    <row r="351" spans="1:13" x14ac:dyDescent="0.35">
      <c r="A351" s="4">
        <v>495019</v>
      </c>
      <c r="B351" s="2">
        <v>9264063291</v>
      </c>
      <c r="C351" s="2" t="s">
        <v>4</v>
      </c>
      <c r="D351" s="2" t="s">
        <v>16</v>
      </c>
      <c r="E351" s="3">
        <v>45017</v>
      </c>
      <c r="F351" s="2" t="s">
        <v>30</v>
      </c>
      <c r="G351" s="2" t="s">
        <v>22</v>
      </c>
      <c r="H351" s="2" t="s">
        <v>29</v>
      </c>
      <c r="I351" s="2">
        <v>252.07</v>
      </c>
      <c r="J351" s="2">
        <v>5133.1899999999996</v>
      </c>
      <c r="K351" s="2">
        <v>4881.12</v>
      </c>
      <c r="L351" s="2" t="s">
        <v>50</v>
      </c>
      <c r="M351" s="5" t="s">
        <v>49</v>
      </c>
    </row>
    <row r="352" spans="1:13" x14ac:dyDescent="0.35">
      <c r="A352" s="4">
        <v>268384</v>
      </c>
      <c r="B352" s="2">
        <v>8958848294</v>
      </c>
      <c r="C352" s="2" t="s">
        <v>5</v>
      </c>
      <c r="D352" s="2" t="s">
        <v>16</v>
      </c>
      <c r="E352" s="3">
        <v>44296</v>
      </c>
      <c r="F352" s="2" t="s">
        <v>32</v>
      </c>
      <c r="G352" s="2" t="s">
        <v>27</v>
      </c>
      <c r="H352" s="2" t="s">
        <v>28</v>
      </c>
      <c r="I352" s="2">
        <v>0</v>
      </c>
      <c r="J352" s="2">
        <v>1366.47</v>
      </c>
      <c r="K352" s="2">
        <v>1366.47</v>
      </c>
      <c r="L352" s="2" t="s">
        <v>37</v>
      </c>
      <c r="M352" s="5" t="s">
        <v>5</v>
      </c>
    </row>
    <row r="353" spans="1:13" x14ac:dyDescent="0.35">
      <c r="A353" s="4">
        <v>397514</v>
      </c>
      <c r="B353" s="2">
        <v>4488857970</v>
      </c>
      <c r="C353" s="2" t="s">
        <v>5</v>
      </c>
      <c r="D353" s="2" t="s">
        <v>19</v>
      </c>
      <c r="E353" s="3">
        <v>43798</v>
      </c>
      <c r="F353" s="2" t="s">
        <v>21</v>
      </c>
      <c r="G353" s="2" t="s">
        <v>27</v>
      </c>
      <c r="H353" s="2" t="s">
        <v>28</v>
      </c>
      <c r="I353" s="2">
        <v>0</v>
      </c>
      <c r="J353" s="2">
        <v>3702.88</v>
      </c>
      <c r="K353" s="2">
        <v>3702.88</v>
      </c>
      <c r="L353" s="2" t="s">
        <v>42</v>
      </c>
      <c r="M353" s="5" t="s">
        <v>51</v>
      </c>
    </row>
    <row r="354" spans="1:13" x14ac:dyDescent="0.35">
      <c r="A354" s="4">
        <v>336722</v>
      </c>
      <c r="B354" s="2">
        <v>4764952857</v>
      </c>
      <c r="C354" s="2" t="s">
        <v>3</v>
      </c>
      <c r="D354" s="2" t="s">
        <v>19</v>
      </c>
      <c r="E354" s="3">
        <v>44012</v>
      </c>
      <c r="F354" s="2" t="s">
        <v>21</v>
      </c>
      <c r="G354" s="2" t="s">
        <v>27</v>
      </c>
      <c r="H354" s="2" t="s">
        <v>28</v>
      </c>
      <c r="I354" s="2">
        <v>0</v>
      </c>
      <c r="J354" s="2">
        <v>657.46</v>
      </c>
      <c r="K354" s="2">
        <v>657.46</v>
      </c>
      <c r="L354" s="2" t="s">
        <v>41</v>
      </c>
      <c r="M354" s="5" t="s">
        <v>54</v>
      </c>
    </row>
    <row r="355" spans="1:13" x14ac:dyDescent="0.35">
      <c r="A355" s="4">
        <v>713513</v>
      </c>
      <c r="B355" s="2">
        <v>9373934414</v>
      </c>
      <c r="C355" s="2" t="s">
        <v>3</v>
      </c>
      <c r="D355" s="2" t="s">
        <v>19</v>
      </c>
      <c r="E355" s="3">
        <v>44158</v>
      </c>
      <c r="F355" s="2" t="s">
        <v>35</v>
      </c>
      <c r="G355" s="2" t="s">
        <v>22</v>
      </c>
      <c r="H355" s="2" t="s">
        <v>31</v>
      </c>
      <c r="I355" s="2">
        <v>440.36</v>
      </c>
      <c r="J355" s="2">
        <v>6031.47</v>
      </c>
      <c r="K355" s="2">
        <v>5591.11</v>
      </c>
      <c r="L355" s="2" t="s">
        <v>47</v>
      </c>
      <c r="M355" s="5" t="s">
        <v>52</v>
      </c>
    </row>
    <row r="356" spans="1:13" x14ac:dyDescent="0.35">
      <c r="A356" s="4">
        <v>785055</v>
      </c>
      <c r="B356" s="2">
        <v>7045888695</v>
      </c>
      <c r="C356" s="2" t="s">
        <v>3</v>
      </c>
      <c r="D356" s="2" t="s">
        <v>16</v>
      </c>
      <c r="E356" s="3">
        <v>44861</v>
      </c>
      <c r="F356" s="2" t="s">
        <v>26</v>
      </c>
      <c r="G356" s="2" t="s">
        <v>27</v>
      </c>
      <c r="H356" s="2" t="s">
        <v>28</v>
      </c>
      <c r="I356" s="2">
        <v>0</v>
      </c>
      <c r="J356" s="2">
        <v>1072.33</v>
      </c>
      <c r="K356" s="2">
        <v>1072.33</v>
      </c>
      <c r="L356" s="2" t="s">
        <v>41</v>
      </c>
      <c r="M356" s="5" t="s">
        <v>51</v>
      </c>
    </row>
    <row r="357" spans="1:13" x14ac:dyDescent="0.35">
      <c r="A357" s="4">
        <v>169224</v>
      </c>
      <c r="B357" s="2">
        <v>3226715826</v>
      </c>
      <c r="C357" s="2" t="s">
        <v>3</v>
      </c>
      <c r="D357" s="2" t="s">
        <v>18</v>
      </c>
      <c r="E357" s="3">
        <v>44839</v>
      </c>
      <c r="F357" s="2" t="s">
        <v>32</v>
      </c>
      <c r="G357" s="2" t="s">
        <v>27</v>
      </c>
      <c r="H357" s="2" t="s">
        <v>28</v>
      </c>
      <c r="I357" s="2">
        <v>0</v>
      </c>
      <c r="J357" s="2">
        <v>5175.6899999999996</v>
      </c>
      <c r="K357" s="2">
        <v>5175.6899999999996</v>
      </c>
      <c r="L357" s="2" t="s">
        <v>37</v>
      </c>
      <c r="M357" s="5" t="s">
        <v>44</v>
      </c>
    </row>
    <row r="358" spans="1:13" x14ac:dyDescent="0.35">
      <c r="A358" s="4">
        <v>425845</v>
      </c>
      <c r="B358" s="2">
        <v>6725503227</v>
      </c>
      <c r="C358" s="2" t="s">
        <v>4</v>
      </c>
      <c r="D358" s="2" t="s">
        <v>19</v>
      </c>
      <c r="E358" s="3">
        <v>44244</v>
      </c>
      <c r="F358" s="2" t="s">
        <v>34</v>
      </c>
      <c r="G358" s="2" t="s">
        <v>22</v>
      </c>
      <c r="H358" s="2" t="s">
        <v>29</v>
      </c>
      <c r="I358" s="2">
        <v>152.58000000000001</v>
      </c>
      <c r="J358" s="2">
        <v>1502.85</v>
      </c>
      <c r="K358" s="2">
        <v>1350.27</v>
      </c>
      <c r="L358" s="2" t="s">
        <v>37</v>
      </c>
      <c r="M358" s="5" t="s">
        <v>48</v>
      </c>
    </row>
    <row r="359" spans="1:13" x14ac:dyDescent="0.35">
      <c r="A359" s="4">
        <v>533501</v>
      </c>
      <c r="B359" s="2">
        <v>5847023874</v>
      </c>
      <c r="C359" s="2" t="s">
        <v>5</v>
      </c>
      <c r="D359" s="2" t="s">
        <v>16</v>
      </c>
      <c r="E359" s="3">
        <v>43735</v>
      </c>
      <c r="F359" s="2" t="s">
        <v>25</v>
      </c>
      <c r="G359" s="2" t="s">
        <v>27</v>
      </c>
      <c r="H359" s="2" t="s">
        <v>28</v>
      </c>
      <c r="I359" s="2">
        <v>0</v>
      </c>
      <c r="J359" s="2">
        <v>1234</v>
      </c>
      <c r="K359" s="2">
        <v>1234</v>
      </c>
      <c r="L359" s="2" t="s">
        <v>45</v>
      </c>
      <c r="M359" s="5" t="s">
        <v>51</v>
      </c>
    </row>
    <row r="360" spans="1:13" x14ac:dyDescent="0.35">
      <c r="A360" s="4">
        <v>432741</v>
      </c>
      <c r="B360" s="2">
        <v>9737606893</v>
      </c>
      <c r="C360" s="2" t="s">
        <v>5</v>
      </c>
      <c r="D360" s="2" t="s">
        <v>19</v>
      </c>
      <c r="E360" s="3">
        <v>43842</v>
      </c>
      <c r="F360" s="2" t="s">
        <v>34</v>
      </c>
      <c r="G360" s="2" t="s">
        <v>22</v>
      </c>
      <c r="H360" s="2" t="s">
        <v>33</v>
      </c>
      <c r="I360" s="2">
        <v>369.31</v>
      </c>
      <c r="J360" s="2">
        <v>3096.44</v>
      </c>
      <c r="K360" s="2">
        <v>2727.13</v>
      </c>
      <c r="L360" s="2" t="s">
        <v>43</v>
      </c>
      <c r="M360" s="5" t="s">
        <v>39</v>
      </c>
    </row>
    <row r="361" spans="1:13" x14ac:dyDescent="0.35">
      <c r="A361" s="4">
        <v>974768</v>
      </c>
      <c r="B361" s="2">
        <v>9679231761</v>
      </c>
      <c r="C361" s="2" t="s">
        <v>5</v>
      </c>
      <c r="D361" s="2" t="s">
        <v>19</v>
      </c>
      <c r="E361" s="3">
        <v>44942</v>
      </c>
      <c r="F361" s="2" t="s">
        <v>21</v>
      </c>
      <c r="G361" s="2" t="s">
        <v>22</v>
      </c>
      <c r="H361" s="2" t="s">
        <v>33</v>
      </c>
      <c r="I361" s="2">
        <v>72.75</v>
      </c>
      <c r="J361" s="2">
        <v>2049.65</v>
      </c>
      <c r="K361" s="2">
        <v>1976.9</v>
      </c>
      <c r="L361" s="2" t="s">
        <v>37</v>
      </c>
      <c r="M361" s="5" t="s">
        <v>48</v>
      </c>
    </row>
    <row r="362" spans="1:13" x14ac:dyDescent="0.35">
      <c r="A362" s="4">
        <v>816742</v>
      </c>
      <c r="B362" s="2">
        <v>3852162469</v>
      </c>
      <c r="C362" s="2" t="s">
        <v>3</v>
      </c>
      <c r="D362" s="2" t="s">
        <v>16</v>
      </c>
      <c r="E362" s="3">
        <v>43995</v>
      </c>
      <c r="F362" s="2" t="s">
        <v>32</v>
      </c>
      <c r="G362" s="2" t="s">
        <v>22</v>
      </c>
      <c r="H362" s="2" t="s">
        <v>33</v>
      </c>
      <c r="I362" s="2">
        <v>269.95</v>
      </c>
      <c r="J362" s="2">
        <v>2186.35</v>
      </c>
      <c r="K362" s="2">
        <v>1916.4</v>
      </c>
      <c r="L362" s="2" t="s">
        <v>41</v>
      </c>
      <c r="M362" s="5" t="s">
        <v>51</v>
      </c>
    </row>
    <row r="363" spans="1:13" x14ac:dyDescent="0.35">
      <c r="A363" s="4">
        <v>371521</v>
      </c>
      <c r="B363" s="2">
        <v>8500228243</v>
      </c>
      <c r="C363" s="2" t="s">
        <v>4</v>
      </c>
      <c r="D363" s="2" t="s">
        <v>19</v>
      </c>
      <c r="E363" s="3">
        <v>43810</v>
      </c>
      <c r="F363" s="2" t="s">
        <v>25</v>
      </c>
      <c r="G363" s="2" t="s">
        <v>22</v>
      </c>
      <c r="H363" s="2" t="s">
        <v>33</v>
      </c>
      <c r="I363" s="2">
        <v>223.95</v>
      </c>
      <c r="J363" s="2">
        <v>1222.1300000000001</v>
      </c>
      <c r="K363" s="2">
        <v>998.18</v>
      </c>
      <c r="L363" s="2" t="s">
        <v>37</v>
      </c>
      <c r="M363" s="5" t="s">
        <v>44</v>
      </c>
    </row>
    <row r="364" spans="1:13" x14ac:dyDescent="0.35">
      <c r="A364" s="4">
        <v>201050</v>
      </c>
      <c r="B364" s="2">
        <v>2372798445</v>
      </c>
      <c r="C364" s="2" t="s">
        <v>5</v>
      </c>
      <c r="D364" s="2" t="s">
        <v>18</v>
      </c>
      <c r="E364" s="3">
        <v>43536</v>
      </c>
      <c r="F364" s="2" t="s">
        <v>21</v>
      </c>
      <c r="G364" s="2" t="s">
        <v>27</v>
      </c>
      <c r="H364" s="2" t="s">
        <v>28</v>
      </c>
      <c r="I364" s="2">
        <v>0</v>
      </c>
      <c r="J364" s="2">
        <v>3695.17</v>
      </c>
      <c r="K364" s="2">
        <v>3695.17</v>
      </c>
      <c r="L364" s="2" t="s">
        <v>37</v>
      </c>
      <c r="M364" s="5" t="s">
        <v>40</v>
      </c>
    </row>
    <row r="365" spans="1:13" x14ac:dyDescent="0.35">
      <c r="A365" s="4">
        <v>772642</v>
      </c>
      <c r="B365" s="2">
        <v>6746324509</v>
      </c>
      <c r="C365" s="2" t="s">
        <v>4</v>
      </c>
      <c r="D365" s="2" t="s">
        <v>19</v>
      </c>
      <c r="E365" s="3">
        <v>44375</v>
      </c>
      <c r="F365" s="2" t="s">
        <v>21</v>
      </c>
      <c r="G365" s="2" t="s">
        <v>27</v>
      </c>
      <c r="H365" s="2" t="s">
        <v>28</v>
      </c>
      <c r="I365" s="2">
        <v>0</v>
      </c>
      <c r="J365" s="2">
        <v>3570.72</v>
      </c>
      <c r="K365" s="2">
        <v>3570.72</v>
      </c>
      <c r="L365" s="2" t="s">
        <v>37</v>
      </c>
      <c r="M365" s="5" t="s">
        <v>40</v>
      </c>
    </row>
    <row r="366" spans="1:13" x14ac:dyDescent="0.35">
      <c r="A366" s="4">
        <v>794595</v>
      </c>
      <c r="B366" s="2">
        <v>4538630049</v>
      </c>
      <c r="C366" s="2" t="s">
        <v>4</v>
      </c>
      <c r="D366" s="2" t="s">
        <v>18</v>
      </c>
      <c r="E366" s="3">
        <v>45089</v>
      </c>
      <c r="F366" s="2" t="s">
        <v>25</v>
      </c>
      <c r="G366" s="2" t="s">
        <v>27</v>
      </c>
      <c r="H366" s="2" t="s">
        <v>28</v>
      </c>
      <c r="I366" s="2">
        <v>0</v>
      </c>
      <c r="J366" s="2">
        <v>5014.3999999999996</v>
      </c>
      <c r="K366" s="2">
        <v>5014.3999999999996</v>
      </c>
      <c r="L366" s="2" t="s">
        <v>37</v>
      </c>
      <c r="M366" s="5" t="s">
        <v>39</v>
      </c>
    </row>
    <row r="367" spans="1:13" x14ac:dyDescent="0.35">
      <c r="A367" s="4">
        <v>376807</v>
      </c>
      <c r="B367" s="2">
        <v>4768454293</v>
      </c>
      <c r="C367" s="2" t="s">
        <v>4</v>
      </c>
      <c r="D367" s="2" t="s">
        <v>16</v>
      </c>
      <c r="E367" s="3">
        <v>44972</v>
      </c>
      <c r="F367" s="2" t="s">
        <v>26</v>
      </c>
      <c r="G367" s="2" t="s">
        <v>27</v>
      </c>
      <c r="H367" s="2" t="s">
        <v>28</v>
      </c>
      <c r="I367" s="2">
        <v>0</v>
      </c>
      <c r="J367" s="2">
        <v>1629.56</v>
      </c>
      <c r="K367" s="2">
        <v>1629.56</v>
      </c>
      <c r="L367" s="2" t="s">
        <v>50</v>
      </c>
      <c r="M367" s="5" t="s">
        <v>49</v>
      </c>
    </row>
    <row r="368" spans="1:13" x14ac:dyDescent="0.35">
      <c r="A368" s="4">
        <v>525146</v>
      </c>
      <c r="B368" s="2">
        <v>4115960020</v>
      </c>
      <c r="C368" s="2" t="s">
        <v>4</v>
      </c>
      <c r="D368" s="2" t="s">
        <v>18</v>
      </c>
      <c r="E368" s="3">
        <v>44455</v>
      </c>
      <c r="F368" s="2" t="s">
        <v>25</v>
      </c>
      <c r="G368" s="2" t="s">
        <v>27</v>
      </c>
      <c r="H368" s="2" t="s">
        <v>28</v>
      </c>
      <c r="I368" s="2">
        <v>0</v>
      </c>
      <c r="J368" s="2">
        <v>1228.4000000000001</v>
      </c>
      <c r="K368" s="2">
        <v>1228.4000000000001</v>
      </c>
      <c r="L368" s="2" t="s">
        <v>37</v>
      </c>
      <c r="M368" s="5" t="s">
        <v>40</v>
      </c>
    </row>
    <row r="369" spans="1:13" x14ac:dyDescent="0.35">
      <c r="A369" s="4">
        <v>710097</v>
      </c>
      <c r="B369" s="2">
        <v>6227277682</v>
      </c>
      <c r="C369" s="2" t="s">
        <v>5</v>
      </c>
      <c r="D369" s="2" t="s">
        <v>19</v>
      </c>
      <c r="E369" s="3">
        <v>44292</v>
      </c>
      <c r="F369" s="2" t="s">
        <v>32</v>
      </c>
      <c r="G369" s="2" t="s">
        <v>27</v>
      </c>
      <c r="H369" s="2" t="s">
        <v>28</v>
      </c>
      <c r="I369" s="2">
        <v>0</v>
      </c>
      <c r="J369" s="2">
        <v>3417.15</v>
      </c>
      <c r="K369" s="2">
        <v>3417.15</v>
      </c>
      <c r="L369" s="2" t="s">
        <v>50</v>
      </c>
      <c r="M369" s="5" t="s">
        <v>49</v>
      </c>
    </row>
    <row r="370" spans="1:13" x14ac:dyDescent="0.35">
      <c r="A370" s="4">
        <v>616554</v>
      </c>
      <c r="B370" s="2">
        <v>4486755506</v>
      </c>
      <c r="C370" s="2" t="s">
        <v>4</v>
      </c>
      <c r="D370" s="2" t="s">
        <v>16</v>
      </c>
      <c r="E370" s="3">
        <v>44005</v>
      </c>
      <c r="F370" s="2" t="s">
        <v>5</v>
      </c>
      <c r="G370" s="2" t="s">
        <v>22</v>
      </c>
      <c r="H370" s="2" t="s">
        <v>23</v>
      </c>
      <c r="I370" s="2">
        <v>497.64</v>
      </c>
      <c r="J370" s="2">
        <v>3881.75</v>
      </c>
      <c r="K370" s="2">
        <v>3384.11</v>
      </c>
      <c r="L370" s="2" t="s">
        <v>37</v>
      </c>
      <c r="M370" s="5" t="s">
        <v>40</v>
      </c>
    </row>
    <row r="371" spans="1:13" x14ac:dyDescent="0.35">
      <c r="A371" s="4">
        <v>731046</v>
      </c>
      <c r="B371" s="2">
        <v>4895855358</v>
      </c>
      <c r="C371" s="2" t="s">
        <v>5</v>
      </c>
      <c r="D371" s="2" t="s">
        <v>19</v>
      </c>
      <c r="E371" s="3">
        <v>43904</v>
      </c>
      <c r="F371" s="2" t="s">
        <v>21</v>
      </c>
      <c r="G371" s="2" t="s">
        <v>27</v>
      </c>
      <c r="H371" s="2" t="s">
        <v>28</v>
      </c>
      <c r="I371" s="2">
        <v>0</v>
      </c>
      <c r="J371" s="2">
        <v>2603.9499999999998</v>
      </c>
      <c r="K371" s="2">
        <v>2603.9499999999998</v>
      </c>
      <c r="L371" s="2" t="s">
        <v>41</v>
      </c>
      <c r="M371" s="5" t="s">
        <v>52</v>
      </c>
    </row>
    <row r="372" spans="1:13" x14ac:dyDescent="0.35">
      <c r="A372" s="4">
        <v>630930</v>
      </c>
      <c r="B372" s="2">
        <v>4102606641</v>
      </c>
      <c r="C372" s="2" t="s">
        <v>5</v>
      </c>
      <c r="D372" s="2" t="s">
        <v>18</v>
      </c>
      <c r="E372" s="3">
        <v>43890</v>
      </c>
      <c r="F372" s="2" t="s">
        <v>32</v>
      </c>
      <c r="G372" s="2" t="s">
        <v>27</v>
      </c>
      <c r="H372" s="2" t="s">
        <v>28</v>
      </c>
      <c r="I372" s="2">
        <v>0</v>
      </c>
      <c r="J372" s="2">
        <v>3272.94</v>
      </c>
      <c r="K372" s="2">
        <v>3272.94</v>
      </c>
      <c r="L372" s="2" t="s">
        <v>37</v>
      </c>
      <c r="M372" s="5" t="s">
        <v>51</v>
      </c>
    </row>
    <row r="373" spans="1:13" x14ac:dyDescent="0.35">
      <c r="A373" s="4">
        <v>950730</v>
      </c>
      <c r="B373" s="2">
        <v>2008441755</v>
      </c>
      <c r="C373" s="2" t="s">
        <v>5</v>
      </c>
      <c r="D373" s="2" t="s">
        <v>18</v>
      </c>
      <c r="E373" s="3">
        <v>45328</v>
      </c>
      <c r="F373" s="2" t="s">
        <v>21</v>
      </c>
      <c r="G373" s="2" t="s">
        <v>27</v>
      </c>
      <c r="H373" s="2" t="s">
        <v>28</v>
      </c>
      <c r="I373" s="2">
        <v>0</v>
      </c>
      <c r="J373" s="2">
        <v>1387.28</v>
      </c>
      <c r="K373" s="2">
        <v>1387.28</v>
      </c>
      <c r="L373" s="2" t="s">
        <v>45</v>
      </c>
      <c r="M373" s="5" t="s">
        <v>51</v>
      </c>
    </row>
    <row r="374" spans="1:13" x14ac:dyDescent="0.35">
      <c r="A374" s="4">
        <v>318950</v>
      </c>
      <c r="B374" s="2">
        <v>9334437368</v>
      </c>
      <c r="C374" s="2" t="s">
        <v>4</v>
      </c>
      <c r="D374" s="2" t="s">
        <v>16</v>
      </c>
      <c r="E374" s="3">
        <v>45379</v>
      </c>
      <c r="F374" s="2" t="s">
        <v>32</v>
      </c>
      <c r="G374" s="2" t="s">
        <v>22</v>
      </c>
      <c r="H374" s="2" t="s">
        <v>24</v>
      </c>
      <c r="I374" s="2">
        <v>439.88</v>
      </c>
      <c r="J374" s="2">
        <v>3539.15</v>
      </c>
      <c r="K374" s="2">
        <v>3099.27</v>
      </c>
      <c r="L374" s="2" t="s">
        <v>37</v>
      </c>
      <c r="M374" s="5" t="s">
        <v>39</v>
      </c>
    </row>
    <row r="375" spans="1:13" x14ac:dyDescent="0.35">
      <c r="A375" s="4">
        <v>481657</v>
      </c>
      <c r="B375" s="2">
        <v>5153991571</v>
      </c>
      <c r="C375" s="2" t="s">
        <v>4</v>
      </c>
      <c r="D375" s="2" t="s">
        <v>16</v>
      </c>
      <c r="E375" s="3">
        <v>44503</v>
      </c>
      <c r="F375" s="2" t="s">
        <v>21</v>
      </c>
      <c r="G375" s="2" t="s">
        <v>27</v>
      </c>
      <c r="H375" s="2" t="s">
        <v>28</v>
      </c>
      <c r="I375" s="2">
        <v>0</v>
      </c>
      <c r="J375" s="2">
        <v>430.75</v>
      </c>
      <c r="K375" s="2">
        <v>430.75</v>
      </c>
      <c r="L375" s="2" t="s">
        <v>37</v>
      </c>
      <c r="M375" s="5" t="s">
        <v>39</v>
      </c>
    </row>
    <row r="376" spans="1:13" x14ac:dyDescent="0.35">
      <c r="A376" s="4">
        <v>142004</v>
      </c>
      <c r="B376" s="2">
        <v>6285562711</v>
      </c>
      <c r="C376" s="2" t="s">
        <v>3</v>
      </c>
      <c r="D376" s="2" t="s">
        <v>16</v>
      </c>
      <c r="E376" s="3">
        <v>44563</v>
      </c>
      <c r="F376" s="2" t="s">
        <v>21</v>
      </c>
      <c r="G376" s="2" t="s">
        <v>27</v>
      </c>
      <c r="H376" s="2" t="s">
        <v>28</v>
      </c>
      <c r="I376" s="2">
        <v>0</v>
      </c>
      <c r="J376" s="2">
        <v>825.64</v>
      </c>
      <c r="K376" s="2">
        <v>825.64</v>
      </c>
      <c r="L376" s="2" t="s">
        <v>41</v>
      </c>
      <c r="M376" s="5" t="s">
        <v>52</v>
      </c>
    </row>
    <row r="377" spans="1:13" x14ac:dyDescent="0.35">
      <c r="A377" s="4">
        <v>119011</v>
      </c>
      <c r="B377" s="2">
        <v>5571859381</v>
      </c>
      <c r="C377" s="2" t="s">
        <v>5</v>
      </c>
      <c r="D377" s="2" t="s">
        <v>18</v>
      </c>
      <c r="E377" s="3">
        <v>45387</v>
      </c>
      <c r="F377" s="2" t="s">
        <v>25</v>
      </c>
      <c r="G377" s="2" t="s">
        <v>22</v>
      </c>
      <c r="H377" s="2" t="s">
        <v>24</v>
      </c>
      <c r="I377" s="2">
        <v>144.22</v>
      </c>
      <c r="J377" s="2">
        <v>4877.1000000000004</v>
      </c>
      <c r="K377" s="2">
        <v>4732.88</v>
      </c>
      <c r="L377" s="2" t="s">
        <v>41</v>
      </c>
      <c r="M377" s="5" t="s">
        <v>49</v>
      </c>
    </row>
    <row r="378" spans="1:13" x14ac:dyDescent="0.35">
      <c r="A378" s="4">
        <v>904274</v>
      </c>
      <c r="B378" s="2">
        <v>3933217062</v>
      </c>
      <c r="C378" s="2" t="s">
        <v>5</v>
      </c>
      <c r="D378" s="2" t="s">
        <v>18</v>
      </c>
      <c r="E378" s="3">
        <v>44264</v>
      </c>
      <c r="F378" s="2" t="s">
        <v>25</v>
      </c>
      <c r="G378" s="2" t="s">
        <v>27</v>
      </c>
      <c r="H378" s="2" t="s">
        <v>28</v>
      </c>
      <c r="I378" s="2">
        <v>0</v>
      </c>
      <c r="J378" s="2">
        <v>2432.96</v>
      </c>
      <c r="K378" s="2">
        <v>2432.96</v>
      </c>
      <c r="L378" s="2" t="s">
        <v>47</v>
      </c>
      <c r="M378" s="5" t="s">
        <v>49</v>
      </c>
    </row>
    <row r="379" spans="1:13" x14ac:dyDescent="0.35">
      <c r="A379" s="4">
        <v>121820</v>
      </c>
      <c r="B379" s="2">
        <v>7199705913</v>
      </c>
      <c r="C379" s="2" t="s">
        <v>4</v>
      </c>
      <c r="D379" s="2" t="s">
        <v>16</v>
      </c>
      <c r="E379" s="3">
        <v>45046</v>
      </c>
      <c r="F379" s="2" t="s">
        <v>21</v>
      </c>
      <c r="G379" s="2" t="s">
        <v>27</v>
      </c>
      <c r="H379" s="2" t="s">
        <v>28</v>
      </c>
      <c r="I379" s="2">
        <v>0</v>
      </c>
      <c r="J379" s="2">
        <v>4584.8500000000004</v>
      </c>
      <c r="K379" s="2">
        <v>4584.8500000000004</v>
      </c>
      <c r="L379" s="2" t="s">
        <v>37</v>
      </c>
      <c r="M379" s="5" t="s">
        <v>51</v>
      </c>
    </row>
    <row r="380" spans="1:13" x14ac:dyDescent="0.35">
      <c r="A380" s="4">
        <v>343394</v>
      </c>
      <c r="B380" s="2">
        <v>1380192493</v>
      </c>
      <c r="C380" s="2" t="s">
        <v>3</v>
      </c>
      <c r="D380" s="2" t="s">
        <v>18</v>
      </c>
      <c r="E380" s="3">
        <v>45142</v>
      </c>
      <c r="F380" s="2" t="s">
        <v>26</v>
      </c>
      <c r="G380" s="2" t="s">
        <v>27</v>
      </c>
      <c r="H380" s="2" t="s">
        <v>28</v>
      </c>
      <c r="I380" s="2">
        <v>0</v>
      </c>
      <c r="J380" s="2">
        <v>1996.38</v>
      </c>
      <c r="K380" s="2">
        <v>1996.38</v>
      </c>
      <c r="L380" s="2" t="s">
        <v>41</v>
      </c>
      <c r="M380" s="5" t="s">
        <v>38</v>
      </c>
    </row>
    <row r="381" spans="1:13" x14ac:dyDescent="0.35">
      <c r="A381" s="4">
        <v>316818</v>
      </c>
      <c r="B381" s="2">
        <v>2691822439</v>
      </c>
      <c r="C381" s="2" t="s">
        <v>4</v>
      </c>
      <c r="D381" s="2" t="s">
        <v>19</v>
      </c>
      <c r="E381" s="3">
        <v>45355</v>
      </c>
      <c r="F381" s="2" t="s">
        <v>35</v>
      </c>
      <c r="G381" s="2" t="s">
        <v>27</v>
      </c>
      <c r="H381" s="2" t="s">
        <v>28</v>
      </c>
      <c r="I381" s="2">
        <v>0</v>
      </c>
      <c r="J381" s="2">
        <v>2951.55</v>
      </c>
      <c r="K381" s="2">
        <v>2951.55</v>
      </c>
      <c r="L381" s="2" t="s">
        <v>37</v>
      </c>
      <c r="M381" s="5" t="s">
        <v>40</v>
      </c>
    </row>
    <row r="382" spans="1:13" x14ac:dyDescent="0.35">
      <c r="A382" s="4">
        <v>110715</v>
      </c>
      <c r="B382" s="2">
        <v>9696160042</v>
      </c>
      <c r="C382" s="2" t="s">
        <v>4</v>
      </c>
      <c r="D382" s="2" t="s">
        <v>17</v>
      </c>
      <c r="E382" s="3">
        <v>43836</v>
      </c>
      <c r="F382" s="2" t="s">
        <v>25</v>
      </c>
      <c r="G382" s="2" t="s">
        <v>27</v>
      </c>
      <c r="H382" s="2" t="s">
        <v>28</v>
      </c>
      <c r="I382" s="2">
        <v>0</v>
      </c>
      <c r="J382" s="2">
        <v>1788.29</v>
      </c>
      <c r="K382" s="2">
        <v>1788.29</v>
      </c>
      <c r="L382" s="2" t="s">
        <v>43</v>
      </c>
      <c r="M382" s="5" t="s">
        <v>40</v>
      </c>
    </row>
    <row r="383" spans="1:13" x14ac:dyDescent="0.35">
      <c r="A383" s="4">
        <v>382368</v>
      </c>
      <c r="B383" s="2">
        <v>8023085096</v>
      </c>
      <c r="C383" s="2" t="s">
        <v>3</v>
      </c>
      <c r="D383" s="2" t="s">
        <v>20</v>
      </c>
      <c r="E383" s="3">
        <v>45342</v>
      </c>
      <c r="F383" s="2" t="s">
        <v>30</v>
      </c>
      <c r="G383" s="2" t="s">
        <v>22</v>
      </c>
      <c r="H383" s="2" t="s">
        <v>33</v>
      </c>
      <c r="I383" s="2">
        <v>59.86</v>
      </c>
      <c r="J383" s="2">
        <v>2759.81</v>
      </c>
      <c r="K383" s="2">
        <v>2699.95</v>
      </c>
      <c r="L383" s="2" t="s">
        <v>50</v>
      </c>
      <c r="M383" s="5" t="s">
        <v>40</v>
      </c>
    </row>
    <row r="384" spans="1:13" x14ac:dyDescent="0.35">
      <c r="A384" s="4">
        <v>604283</v>
      </c>
      <c r="B384" s="2">
        <v>5581784456</v>
      </c>
      <c r="C384" s="2" t="s">
        <v>4</v>
      </c>
      <c r="D384" s="2" t="s">
        <v>19</v>
      </c>
      <c r="E384" s="3">
        <v>45504</v>
      </c>
      <c r="F384" s="2" t="s">
        <v>26</v>
      </c>
      <c r="G384" s="2" t="s">
        <v>22</v>
      </c>
      <c r="H384" s="2" t="s">
        <v>23</v>
      </c>
      <c r="I384" s="2">
        <v>71.58</v>
      </c>
      <c r="J384" s="2">
        <v>758.64</v>
      </c>
      <c r="K384" s="2">
        <v>687.06</v>
      </c>
      <c r="L384" s="2" t="s">
        <v>37</v>
      </c>
      <c r="M384" s="5" t="s">
        <v>40</v>
      </c>
    </row>
    <row r="385" spans="1:13" x14ac:dyDescent="0.35">
      <c r="A385" s="4">
        <v>101206</v>
      </c>
      <c r="B385" s="2">
        <v>4082960786</v>
      </c>
      <c r="C385" s="2" t="s">
        <v>3</v>
      </c>
      <c r="D385" s="2" t="s">
        <v>18</v>
      </c>
      <c r="E385" s="3">
        <v>43956</v>
      </c>
      <c r="F385" s="2" t="s">
        <v>21</v>
      </c>
      <c r="G385" s="2" t="s">
        <v>22</v>
      </c>
      <c r="H385" s="2" t="s">
        <v>33</v>
      </c>
      <c r="I385" s="2">
        <v>358.58</v>
      </c>
      <c r="J385" s="2">
        <v>204.89</v>
      </c>
      <c r="K385" s="2">
        <v>-153.69</v>
      </c>
      <c r="L385" s="2" t="s">
        <v>41</v>
      </c>
      <c r="M385" s="5" t="s">
        <v>40</v>
      </c>
    </row>
    <row r="386" spans="1:13" x14ac:dyDescent="0.35">
      <c r="A386" s="4">
        <v>585750</v>
      </c>
      <c r="B386" s="2">
        <v>1379146623</v>
      </c>
      <c r="C386" s="2" t="s">
        <v>4</v>
      </c>
      <c r="D386" s="2" t="s">
        <v>16</v>
      </c>
      <c r="E386" s="3">
        <v>44751</v>
      </c>
      <c r="F386" s="2" t="s">
        <v>26</v>
      </c>
      <c r="G386" s="2" t="s">
        <v>22</v>
      </c>
      <c r="H386" s="2" t="s">
        <v>24</v>
      </c>
      <c r="I386" s="2">
        <v>327.96</v>
      </c>
      <c r="J386" s="2">
        <v>1836.76</v>
      </c>
      <c r="K386" s="2">
        <v>1508.8</v>
      </c>
      <c r="L386" s="2" t="s">
        <v>37</v>
      </c>
      <c r="M386" s="5" t="s">
        <v>51</v>
      </c>
    </row>
    <row r="387" spans="1:13" x14ac:dyDescent="0.35">
      <c r="A387" s="4">
        <v>365953</v>
      </c>
      <c r="B387" s="2">
        <v>5066808566</v>
      </c>
      <c r="C387" s="2" t="s">
        <v>4</v>
      </c>
      <c r="D387" s="2" t="s">
        <v>19</v>
      </c>
      <c r="E387" s="3">
        <v>44487</v>
      </c>
      <c r="F387" s="2" t="s">
        <v>35</v>
      </c>
      <c r="G387" s="2" t="s">
        <v>27</v>
      </c>
      <c r="H387" s="2" t="s">
        <v>28</v>
      </c>
      <c r="I387" s="2">
        <v>0</v>
      </c>
      <c r="J387" s="2">
        <v>4309.62</v>
      </c>
      <c r="K387" s="2">
        <v>4309.62</v>
      </c>
      <c r="L387" s="2" t="s">
        <v>47</v>
      </c>
      <c r="M387" s="5" t="s">
        <v>46</v>
      </c>
    </row>
    <row r="388" spans="1:13" x14ac:dyDescent="0.35">
      <c r="A388" s="4">
        <v>586449</v>
      </c>
      <c r="B388" s="2">
        <v>7927236521</v>
      </c>
      <c r="C388" s="2" t="s">
        <v>3</v>
      </c>
      <c r="D388" s="2" t="s">
        <v>16</v>
      </c>
      <c r="E388" s="3">
        <v>45272</v>
      </c>
      <c r="F388" s="2" t="s">
        <v>35</v>
      </c>
      <c r="G388" s="2" t="s">
        <v>22</v>
      </c>
      <c r="H388" s="2" t="s">
        <v>33</v>
      </c>
      <c r="I388" s="2">
        <v>352.23</v>
      </c>
      <c r="J388" s="2">
        <v>7641.26</v>
      </c>
      <c r="K388" s="2">
        <v>7289.03</v>
      </c>
      <c r="L388" s="2" t="s">
        <v>42</v>
      </c>
      <c r="M388" s="5" t="s">
        <v>39</v>
      </c>
    </row>
    <row r="389" spans="1:13" x14ac:dyDescent="0.35">
      <c r="A389" s="4">
        <v>785520</v>
      </c>
      <c r="B389" s="2">
        <v>4993755155</v>
      </c>
      <c r="C389" s="2" t="s">
        <v>5</v>
      </c>
      <c r="D389" s="2" t="s">
        <v>16</v>
      </c>
      <c r="E389" s="3">
        <v>45237</v>
      </c>
      <c r="F389" s="2" t="s">
        <v>21</v>
      </c>
      <c r="G389" s="2" t="s">
        <v>22</v>
      </c>
      <c r="H389" s="2" t="s">
        <v>29</v>
      </c>
      <c r="I389" s="2">
        <v>339.95</v>
      </c>
      <c r="J389" s="2">
        <v>2554.46</v>
      </c>
      <c r="K389" s="2">
        <v>2214.5100000000002</v>
      </c>
      <c r="L389" s="2" t="s">
        <v>37</v>
      </c>
      <c r="M389" s="5" t="s">
        <v>44</v>
      </c>
    </row>
    <row r="390" spans="1:13" x14ac:dyDescent="0.35">
      <c r="A390" s="4">
        <v>755879</v>
      </c>
      <c r="B390" s="2">
        <v>1599182988</v>
      </c>
      <c r="C390" s="2" t="s">
        <v>3</v>
      </c>
      <c r="D390" s="2" t="s">
        <v>19</v>
      </c>
      <c r="E390" s="3">
        <v>45460</v>
      </c>
      <c r="F390" s="2" t="s">
        <v>21</v>
      </c>
      <c r="G390" s="2" t="s">
        <v>27</v>
      </c>
      <c r="H390" s="2" t="s">
        <v>28</v>
      </c>
      <c r="I390" s="2">
        <v>0</v>
      </c>
      <c r="J390" s="2">
        <v>4542.46</v>
      </c>
      <c r="K390" s="2">
        <v>4542.46</v>
      </c>
      <c r="L390" s="2" t="s">
        <v>50</v>
      </c>
      <c r="M390" s="5" t="s">
        <v>48</v>
      </c>
    </row>
    <row r="391" spans="1:13" x14ac:dyDescent="0.35">
      <c r="A391" s="4">
        <v>765748</v>
      </c>
      <c r="B391" s="2">
        <v>2324674174</v>
      </c>
      <c r="C391" s="2" t="s">
        <v>4</v>
      </c>
      <c r="D391" s="2" t="s">
        <v>19</v>
      </c>
      <c r="E391" s="3">
        <v>45039</v>
      </c>
      <c r="F391" s="2" t="s">
        <v>21</v>
      </c>
      <c r="G391" s="2" t="s">
        <v>22</v>
      </c>
      <c r="H391" s="2" t="s">
        <v>23</v>
      </c>
      <c r="I391" s="2">
        <v>126.73</v>
      </c>
      <c r="J391" s="2">
        <v>2260.81</v>
      </c>
      <c r="K391" s="2">
        <v>2134.08</v>
      </c>
      <c r="L391" s="2" t="s">
        <v>43</v>
      </c>
      <c r="M391" s="5" t="s">
        <v>51</v>
      </c>
    </row>
    <row r="392" spans="1:13" x14ac:dyDescent="0.35">
      <c r="A392" s="4">
        <v>196497</v>
      </c>
      <c r="B392" s="2">
        <v>3604485882</v>
      </c>
      <c r="C392" s="2" t="s">
        <v>5</v>
      </c>
      <c r="D392" s="2" t="s">
        <v>16</v>
      </c>
      <c r="E392" s="3">
        <v>44967</v>
      </c>
      <c r="F392" s="2" t="s">
        <v>21</v>
      </c>
      <c r="G392" s="2" t="s">
        <v>22</v>
      </c>
      <c r="H392" s="2" t="s">
        <v>24</v>
      </c>
      <c r="I392" s="2">
        <v>483.04</v>
      </c>
      <c r="J392" s="2">
        <v>1938.27</v>
      </c>
      <c r="K392" s="2">
        <v>1455.23</v>
      </c>
      <c r="L392" s="2" t="s">
        <v>45</v>
      </c>
      <c r="M392" s="5" t="s">
        <v>40</v>
      </c>
    </row>
    <row r="393" spans="1:13" x14ac:dyDescent="0.35">
      <c r="A393" s="4">
        <v>293741</v>
      </c>
      <c r="B393" s="2">
        <v>9584343419</v>
      </c>
      <c r="C393" s="2" t="s">
        <v>5</v>
      </c>
      <c r="D393" s="2" t="s">
        <v>19</v>
      </c>
      <c r="E393" s="3">
        <v>44833</v>
      </c>
      <c r="F393" s="2" t="s">
        <v>25</v>
      </c>
      <c r="G393" s="2" t="s">
        <v>22</v>
      </c>
      <c r="H393" s="2" t="s">
        <v>23</v>
      </c>
      <c r="I393" s="2">
        <v>76.39</v>
      </c>
      <c r="J393" s="2">
        <v>5700.56</v>
      </c>
      <c r="K393" s="2">
        <v>5624.17</v>
      </c>
      <c r="L393" s="2" t="s">
        <v>41</v>
      </c>
      <c r="M393" s="5" t="s">
        <v>51</v>
      </c>
    </row>
    <row r="394" spans="1:13" x14ac:dyDescent="0.35">
      <c r="A394" s="4">
        <v>726680</v>
      </c>
      <c r="B394" s="2">
        <v>3781587565</v>
      </c>
      <c r="C394" s="2" t="s">
        <v>3</v>
      </c>
      <c r="D394" s="2" t="s">
        <v>16</v>
      </c>
      <c r="E394" s="3">
        <v>44020</v>
      </c>
      <c r="F394" s="2" t="s">
        <v>30</v>
      </c>
      <c r="G394" s="2" t="s">
        <v>27</v>
      </c>
      <c r="H394" s="2" t="s">
        <v>28</v>
      </c>
      <c r="I394" s="2">
        <v>0</v>
      </c>
      <c r="J394" s="2">
        <v>4125.3999999999996</v>
      </c>
      <c r="K394" s="2">
        <v>4125.3999999999996</v>
      </c>
      <c r="L394" s="2" t="s">
        <v>41</v>
      </c>
      <c r="M394" s="5" t="s">
        <v>39</v>
      </c>
    </row>
    <row r="395" spans="1:13" x14ac:dyDescent="0.35">
      <c r="A395" s="4">
        <v>427626</v>
      </c>
      <c r="B395" s="2">
        <v>7381555874</v>
      </c>
      <c r="C395" s="2" t="s">
        <v>5</v>
      </c>
      <c r="D395" s="2" t="s">
        <v>19</v>
      </c>
      <c r="E395" s="3">
        <v>45215</v>
      </c>
      <c r="F395" s="2" t="s">
        <v>32</v>
      </c>
      <c r="G395" s="2" t="s">
        <v>27</v>
      </c>
      <c r="H395" s="2" t="s">
        <v>28</v>
      </c>
      <c r="I395" s="2">
        <v>0</v>
      </c>
      <c r="J395" s="2">
        <v>921.03</v>
      </c>
      <c r="K395" s="2">
        <v>921.03</v>
      </c>
      <c r="L395" s="2" t="s">
        <v>45</v>
      </c>
      <c r="M395" s="5" t="s">
        <v>39</v>
      </c>
    </row>
    <row r="396" spans="1:13" x14ac:dyDescent="0.35">
      <c r="A396" s="4">
        <v>512176</v>
      </c>
      <c r="B396" s="2">
        <v>7422005186</v>
      </c>
      <c r="C396" s="2" t="s">
        <v>4</v>
      </c>
      <c r="D396" s="2" t="s">
        <v>20</v>
      </c>
      <c r="E396" s="3">
        <v>45109</v>
      </c>
      <c r="F396" s="2" t="s">
        <v>21</v>
      </c>
      <c r="G396" s="2" t="s">
        <v>22</v>
      </c>
      <c r="H396" s="2" t="s">
        <v>29</v>
      </c>
      <c r="I396" s="2">
        <v>351.43</v>
      </c>
      <c r="J396" s="2">
        <v>1826.58</v>
      </c>
      <c r="K396" s="2">
        <v>1475.15</v>
      </c>
      <c r="L396" s="2" t="s">
        <v>45</v>
      </c>
      <c r="M396" s="5" t="s">
        <v>48</v>
      </c>
    </row>
    <row r="397" spans="1:13" x14ac:dyDescent="0.35">
      <c r="A397" s="4">
        <v>513586</v>
      </c>
      <c r="B397" s="2">
        <v>6225875616</v>
      </c>
      <c r="C397" s="2" t="s">
        <v>5</v>
      </c>
      <c r="D397" s="2" t="s">
        <v>16</v>
      </c>
      <c r="E397" s="3">
        <v>44461</v>
      </c>
      <c r="F397" s="2" t="s">
        <v>35</v>
      </c>
      <c r="G397" s="2" t="s">
        <v>27</v>
      </c>
      <c r="H397" s="2" t="s">
        <v>28</v>
      </c>
      <c r="I397" s="2">
        <v>0</v>
      </c>
      <c r="J397" s="2">
        <v>1005.97</v>
      </c>
      <c r="K397" s="2">
        <v>1005.97</v>
      </c>
      <c r="L397" s="2" t="s">
        <v>41</v>
      </c>
      <c r="M397" s="5" t="s">
        <v>39</v>
      </c>
    </row>
    <row r="398" spans="1:13" x14ac:dyDescent="0.35">
      <c r="A398" s="4">
        <v>770139</v>
      </c>
      <c r="B398" s="2">
        <v>2535601321</v>
      </c>
      <c r="C398" s="2" t="s">
        <v>5</v>
      </c>
      <c r="D398" s="2" t="s">
        <v>19</v>
      </c>
      <c r="E398" s="3">
        <v>44000</v>
      </c>
      <c r="F398" s="2" t="s">
        <v>35</v>
      </c>
      <c r="G398" s="2" t="s">
        <v>27</v>
      </c>
      <c r="H398" s="2" t="s">
        <v>28</v>
      </c>
      <c r="I398" s="2">
        <v>0</v>
      </c>
      <c r="J398" s="2">
        <v>4046.09</v>
      </c>
      <c r="K398" s="2">
        <v>4046.09</v>
      </c>
      <c r="L398" s="2" t="s">
        <v>37</v>
      </c>
      <c r="M398" s="5" t="s">
        <v>39</v>
      </c>
    </row>
    <row r="399" spans="1:13" x14ac:dyDescent="0.35">
      <c r="A399" s="4">
        <v>902059</v>
      </c>
      <c r="B399" s="2">
        <v>3748264952</v>
      </c>
      <c r="C399" s="2" t="s">
        <v>3</v>
      </c>
      <c r="D399" s="2" t="s">
        <v>17</v>
      </c>
      <c r="E399" s="3">
        <v>45156</v>
      </c>
      <c r="F399" s="2" t="s">
        <v>25</v>
      </c>
      <c r="G399" s="2" t="s">
        <v>22</v>
      </c>
      <c r="H399" s="2" t="s">
        <v>23</v>
      </c>
      <c r="I399" s="2">
        <v>220.39</v>
      </c>
      <c r="J399" s="2">
        <v>4935.54</v>
      </c>
      <c r="K399" s="2">
        <v>4715.1499999999996</v>
      </c>
      <c r="L399" s="2" t="s">
        <v>37</v>
      </c>
      <c r="M399" s="5" t="s">
        <v>51</v>
      </c>
    </row>
    <row r="400" spans="1:13" x14ac:dyDescent="0.35">
      <c r="A400" s="4">
        <v>270557</v>
      </c>
      <c r="B400" s="2">
        <v>9264884678</v>
      </c>
      <c r="C400" s="2" t="s">
        <v>4</v>
      </c>
      <c r="D400" s="2" t="s">
        <v>19</v>
      </c>
      <c r="E400" s="3">
        <v>44350</v>
      </c>
      <c r="F400" s="2" t="s">
        <v>32</v>
      </c>
      <c r="G400" s="2" t="s">
        <v>22</v>
      </c>
      <c r="H400" s="2" t="s">
        <v>29</v>
      </c>
      <c r="I400" s="2">
        <v>385.36</v>
      </c>
      <c r="J400" s="2">
        <v>246.81</v>
      </c>
      <c r="K400" s="2">
        <v>-138.55000000000001</v>
      </c>
      <c r="L400" s="2" t="s">
        <v>41</v>
      </c>
      <c r="M400" s="5" t="s">
        <v>39</v>
      </c>
    </row>
    <row r="401" spans="1:13" x14ac:dyDescent="0.35">
      <c r="A401" s="4">
        <v>381356</v>
      </c>
      <c r="B401" s="2">
        <v>3543155549</v>
      </c>
      <c r="C401" s="2" t="s">
        <v>4</v>
      </c>
      <c r="D401" s="2" t="s">
        <v>18</v>
      </c>
      <c r="E401" s="3">
        <v>44299</v>
      </c>
      <c r="F401" s="2" t="s">
        <v>35</v>
      </c>
      <c r="G401" s="2" t="s">
        <v>27</v>
      </c>
      <c r="H401" s="2" t="s">
        <v>28</v>
      </c>
      <c r="I401" s="2">
        <v>0</v>
      </c>
      <c r="J401" s="2">
        <v>4913.74</v>
      </c>
      <c r="K401" s="2">
        <v>4913.74</v>
      </c>
      <c r="L401" s="2" t="s">
        <v>37</v>
      </c>
      <c r="M401" s="5" t="s">
        <v>49</v>
      </c>
    </row>
    <row r="402" spans="1:13" x14ac:dyDescent="0.35">
      <c r="A402" s="4">
        <v>298866</v>
      </c>
      <c r="B402" s="2">
        <v>7120818946</v>
      </c>
      <c r="C402" s="2" t="s">
        <v>3</v>
      </c>
      <c r="D402" s="2" t="s">
        <v>16</v>
      </c>
      <c r="E402" s="3">
        <v>44932</v>
      </c>
      <c r="F402" s="2" t="s">
        <v>26</v>
      </c>
      <c r="G402" s="2" t="s">
        <v>22</v>
      </c>
      <c r="H402" s="2" t="s">
        <v>31</v>
      </c>
      <c r="I402" s="2">
        <v>199.39</v>
      </c>
      <c r="J402" s="2">
        <v>4181.7299999999996</v>
      </c>
      <c r="K402" s="2">
        <v>3982.34</v>
      </c>
      <c r="L402" s="2" t="s">
        <v>55</v>
      </c>
      <c r="M402" s="5" t="s">
        <v>51</v>
      </c>
    </row>
    <row r="403" spans="1:13" x14ac:dyDescent="0.35">
      <c r="A403" s="4">
        <v>446228</v>
      </c>
      <c r="B403" s="2">
        <v>3211387246</v>
      </c>
      <c r="C403" s="2" t="s">
        <v>5</v>
      </c>
      <c r="D403" s="2" t="s">
        <v>18</v>
      </c>
      <c r="E403" s="3">
        <v>45498</v>
      </c>
      <c r="F403" s="2" t="s">
        <v>25</v>
      </c>
      <c r="G403" s="2" t="s">
        <v>22</v>
      </c>
      <c r="H403" s="2" t="s">
        <v>24</v>
      </c>
      <c r="I403" s="2">
        <v>423.45</v>
      </c>
      <c r="J403" s="2">
        <v>5430.94</v>
      </c>
      <c r="K403" s="2">
        <v>5007.49</v>
      </c>
      <c r="L403" s="2" t="s">
        <v>41</v>
      </c>
      <c r="M403" s="5" t="s">
        <v>38</v>
      </c>
    </row>
    <row r="404" spans="1:13" x14ac:dyDescent="0.35">
      <c r="A404" s="4">
        <v>747224</v>
      </c>
      <c r="B404" s="2">
        <v>6131267159</v>
      </c>
      <c r="C404" s="2" t="s">
        <v>4</v>
      </c>
      <c r="D404" s="2" t="s">
        <v>19</v>
      </c>
      <c r="E404" s="3">
        <v>45018</v>
      </c>
      <c r="F404" s="2" t="s">
        <v>25</v>
      </c>
      <c r="G404" s="2" t="s">
        <v>27</v>
      </c>
      <c r="H404" s="2" t="s">
        <v>28</v>
      </c>
      <c r="I404" s="2">
        <v>0</v>
      </c>
      <c r="J404" s="2">
        <v>682.14</v>
      </c>
      <c r="K404" s="2">
        <v>682.14</v>
      </c>
      <c r="L404" s="2" t="s">
        <v>37</v>
      </c>
      <c r="M404" s="5" t="s">
        <v>39</v>
      </c>
    </row>
    <row r="405" spans="1:13" x14ac:dyDescent="0.35">
      <c r="A405" s="4">
        <v>177312</v>
      </c>
      <c r="B405" s="2">
        <v>8804053782</v>
      </c>
      <c r="C405" s="2" t="s">
        <v>3</v>
      </c>
      <c r="D405" s="2" t="s">
        <v>16</v>
      </c>
      <c r="E405" s="3">
        <v>44252</v>
      </c>
      <c r="F405" s="2" t="s">
        <v>36</v>
      </c>
      <c r="G405" s="2" t="s">
        <v>27</v>
      </c>
      <c r="H405" s="2" t="s">
        <v>28</v>
      </c>
      <c r="I405" s="2">
        <v>0</v>
      </c>
      <c r="J405" s="2">
        <v>628.94000000000005</v>
      </c>
      <c r="K405" s="2">
        <v>628.94000000000005</v>
      </c>
      <c r="L405" s="2" t="s">
        <v>37</v>
      </c>
      <c r="M405" s="5" t="s">
        <v>54</v>
      </c>
    </row>
    <row r="406" spans="1:13" x14ac:dyDescent="0.35">
      <c r="A406" s="4">
        <v>242592</v>
      </c>
      <c r="B406" s="2">
        <v>3616477635</v>
      </c>
      <c r="C406" s="2" t="s">
        <v>3</v>
      </c>
      <c r="D406" s="2" t="s">
        <v>18</v>
      </c>
      <c r="E406" s="3">
        <v>45168</v>
      </c>
      <c r="F406" s="2" t="s">
        <v>35</v>
      </c>
      <c r="G406" s="2" t="s">
        <v>27</v>
      </c>
      <c r="H406" s="2" t="s">
        <v>28</v>
      </c>
      <c r="I406" s="2">
        <v>0</v>
      </c>
      <c r="J406" s="2">
        <v>4012.21</v>
      </c>
      <c r="K406" s="2">
        <v>4012.21</v>
      </c>
      <c r="L406" s="2" t="s">
        <v>45</v>
      </c>
      <c r="M406" s="5" t="s">
        <v>48</v>
      </c>
    </row>
    <row r="407" spans="1:13" x14ac:dyDescent="0.35">
      <c r="A407" s="4">
        <v>745226</v>
      </c>
      <c r="B407" s="2">
        <v>3507110043</v>
      </c>
      <c r="C407" s="2" t="s">
        <v>3</v>
      </c>
      <c r="D407" s="2" t="s">
        <v>20</v>
      </c>
      <c r="E407" s="3">
        <v>44626</v>
      </c>
      <c r="F407" s="2" t="s">
        <v>25</v>
      </c>
      <c r="G407" s="2" t="s">
        <v>27</v>
      </c>
      <c r="H407" s="2" t="s">
        <v>28</v>
      </c>
      <c r="I407" s="2">
        <v>0</v>
      </c>
      <c r="J407" s="2">
        <v>4795.3599999999997</v>
      </c>
      <c r="K407" s="2">
        <v>4795.3599999999997</v>
      </c>
      <c r="L407" s="2" t="s">
        <v>41</v>
      </c>
      <c r="M407" s="5" t="s">
        <v>53</v>
      </c>
    </row>
    <row r="408" spans="1:13" x14ac:dyDescent="0.35">
      <c r="A408" s="4">
        <v>894143</v>
      </c>
      <c r="B408" s="2">
        <v>1456007305</v>
      </c>
      <c r="C408" s="2" t="s">
        <v>5</v>
      </c>
      <c r="D408" s="2" t="s">
        <v>18</v>
      </c>
      <c r="E408" s="3">
        <v>44732</v>
      </c>
      <c r="F408" s="2" t="s">
        <v>21</v>
      </c>
      <c r="G408" s="2" t="s">
        <v>27</v>
      </c>
      <c r="H408" s="2" t="s">
        <v>28</v>
      </c>
      <c r="I408" s="2">
        <v>0</v>
      </c>
      <c r="J408" s="2">
        <v>2685.75</v>
      </c>
      <c r="K408" s="2">
        <v>2685.75</v>
      </c>
      <c r="L408" s="2" t="s">
        <v>50</v>
      </c>
      <c r="M408" s="5" t="s">
        <v>38</v>
      </c>
    </row>
    <row r="409" spans="1:13" x14ac:dyDescent="0.35">
      <c r="A409" s="4">
        <v>590012</v>
      </c>
      <c r="B409" s="2">
        <v>7342039712</v>
      </c>
      <c r="C409" s="2" t="s">
        <v>4</v>
      </c>
      <c r="D409" s="2" t="s">
        <v>18</v>
      </c>
      <c r="E409" s="3">
        <v>44966</v>
      </c>
      <c r="F409" s="2" t="s">
        <v>35</v>
      </c>
      <c r="G409" s="2" t="s">
        <v>27</v>
      </c>
      <c r="H409" s="2" t="s">
        <v>28</v>
      </c>
      <c r="I409" s="2">
        <v>0</v>
      </c>
      <c r="J409" s="2">
        <v>6119.67</v>
      </c>
      <c r="K409" s="2">
        <v>6119.67</v>
      </c>
      <c r="L409" s="2" t="s">
        <v>45</v>
      </c>
      <c r="M409" s="5" t="s">
        <v>40</v>
      </c>
    </row>
    <row r="410" spans="1:13" x14ac:dyDescent="0.35">
      <c r="A410" s="4">
        <v>991799</v>
      </c>
      <c r="B410" s="2">
        <v>5949064733</v>
      </c>
      <c r="C410" s="2" t="s">
        <v>5</v>
      </c>
      <c r="D410" s="2" t="s">
        <v>19</v>
      </c>
      <c r="E410" s="3">
        <v>44730</v>
      </c>
      <c r="F410" s="2" t="s">
        <v>21</v>
      </c>
      <c r="G410" s="2" t="s">
        <v>27</v>
      </c>
      <c r="H410" s="2" t="s">
        <v>28</v>
      </c>
      <c r="I410" s="2">
        <v>0</v>
      </c>
      <c r="J410" s="2">
        <v>3728.68</v>
      </c>
      <c r="K410" s="2">
        <v>3728.68</v>
      </c>
      <c r="L410" s="2" t="s">
        <v>41</v>
      </c>
      <c r="M410" s="5" t="s">
        <v>39</v>
      </c>
    </row>
    <row r="411" spans="1:13" x14ac:dyDescent="0.35">
      <c r="A411" s="4">
        <v>101526</v>
      </c>
      <c r="B411" s="2">
        <v>8885327450</v>
      </c>
      <c r="C411" s="2" t="s">
        <v>4</v>
      </c>
      <c r="D411" s="2" t="s">
        <v>18</v>
      </c>
      <c r="E411" s="3">
        <v>44908</v>
      </c>
      <c r="F411" s="2" t="s">
        <v>21</v>
      </c>
      <c r="G411" s="2" t="s">
        <v>22</v>
      </c>
      <c r="H411" s="2" t="s">
        <v>29</v>
      </c>
      <c r="I411" s="2">
        <v>342.54</v>
      </c>
      <c r="J411" s="2">
        <v>7724.59</v>
      </c>
      <c r="K411" s="2">
        <v>7382.05</v>
      </c>
      <c r="L411" s="2" t="s">
        <v>41</v>
      </c>
      <c r="M411" s="5" t="s">
        <v>40</v>
      </c>
    </row>
    <row r="412" spans="1:13" x14ac:dyDescent="0.35">
      <c r="A412" s="4">
        <v>110461</v>
      </c>
      <c r="B412" s="2">
        <v>2272967392</v>
      </c>
      <c r="C412" s="2" t="s">
        <v>4</v>
      </c>
      <c r="D412" s="2" t="s">
        <v>19</v>
      </c>
      <c r="E412" s="3">
        <v>45433</v>
      </c>
      <c r="F412" s="2" t="s">
        <v>35</v>
      </c>
      <c r="G412" s="2" t="s">
        <v>27</v>
      </c>
      <c r="H412" s="2" t="s">
        <v>28</v>
      </c>
      <c r="I412" s="2">
        <v>0</v>
      </c>
      <c r="J412" s="2">
        <v>4275.1000000000004</v>
      </c>
      <c r="K412" s="2">
        <v>4275.1000000000004</v>
      </c>
      <c r="L412" s="2" t="s">
        <v>45</v>
      </c>
      <c r="M412" s="5" t="s">
        <v>49</v>
      </c>
    </row>
    <row r="413" spans="1:13" x14ac:dyDescent="0.35">
      <c r="A413" s="4">
        <v>714048</v>
      </c>
      <c r="B413" s="2">
        <v>4601779423</v>
      </c>
      <c r="C413" s="2" t="s">
        <v>3</v>
      </c>
      <c r="D413" s="2" t="s">
        <v>16</v>
      </c>
      <c r="E413" s="3">
        <v>45458</v>
      </c>
      <c r="F413" s="2" t="s">
        <v>32</v>
      </c>
      <c r="G413" s="2" t="s">
        <v>22</v>
      </c>
      <c r="H413" s="2" t="s">
        <v>33</v>
      </c>
      <c r="I413" s="2">
        <v>75.47</v>
      </c>
      <c r="J413" s="2">
        <v>1625.45</v>
      </c>
      <c r="K413" s="2">
        <v>1549.98</v>
      </c>
      <c r="L413" s="2" t="s">
        <v>50</v>
      </c>
      <c r="M413" s="5" t="s">
        <v>51</v>
      </c>
    </row>
    <row r="414" spans="1:13" x14ac:dyDescent="0.35">
      <c r="A414" s="4">
        <v>597775</v>
      </c>
      <c r="B414" s="2">
        <v>5400781301</v>
      </c>
      <c r="C414" s="2" t="s">
        <v>5</v>
      </c>
      <c r="D414" s="2" t="s">
        <v>18</v>
      </c>
      <c r="E414" s="3">
        <v>43818</v>
      </c>
      <c r="F414" s="2" t="s">
        <v>26</v>
      </c>
      <c r="G414" s="2" t="s">
        <v>22</v>
      </c>
      <c r="H414" s="2" t="s">
        <v>31</v>
      </c>
      <c r="I414" s="2">
        <v>64.540000000000006</v>
      </c>
      <c r="J414" s="2">
        <v>5737.24</v>
      </c>
      <c r="K414" s="2">
        <v>5672.7</v>
      </c>
      <c r="L414" s="2" t="s">
        <v>37</v>
      </c>
      <c r="M414" s="5" t="s">
        <v>54</v>
      </c>
    </row>
    <row r="415" spans="1:13" x14ac:dyDescent="0.35">
      <c r="A415" s="4">
        <v>871667</v>
      </c>
      <c r="B415" s="2">
        <v>4969742424</v>
      </c>
      <c r="C415" s="2" t="s">
        <v>4</v>
      </c>
      <c r="D415" s="2" t="s">
        <v>18</v>
      </c>
      <c r="E415" s="3">
        <v>44868</v>
      </c>
      <c r="F415" s="2" t="s">
        <v>26</v>
      </c>
      <c r="G415" s="2" t="s">
        <v>27</v>
      </c>
      <c r="H415" s="2" t="s">
        <v>28</v>
      </c>
      <c r="I415" s="2">
        <v>0</v>
      </c>
      <c r="J415" s="2">
        <v>1422.81</v>
      </c>
      <c r="K415" s="2">
        <v>1422.81</v>
      </c>
      <c r="L415" s="2" t="s">
        <v>41</v>
      </c>
      <c r="M415" s="5" t="s">
        <v>49</v>
      </c>
    </row>
    <row r="416" spans="1:13" x14ac:dyDescent="0.35">
      <c r="A416" s="4">
        <v>858510</v>
      </c>
      <c r="B416" s="2">
        <v>2893293526</v>
      </c>
      <c r="C416" s="2" t="s">
        <v>5</v>
      </c>
      <c r="D416" s="2" t="s">
        <v>16</v>
      </c>
      <c r="E416" s="3">
        <v>45047</v>
      </c>
      <c r="F416" s="2" t="s">
        <v>21</v>
      </c>
      <c r="G416" s="2" t="s">
        <v>27</v>
      </c>
      <c r="H416" s="2" t="s">
        <v>28</v>
      </c>
      <c r="I416" s="2">
        <v>0</v>
      </c>
      <c r="J416" s="2">
        <v>5221.03</v>
      </c>
      <c r="K416" s="2">
        <v>5221.03</v>
      </c>
      <c r="L416" s="2" t="s">
        <v>37</v>
      </c>
      <c r="M416" s="5" t="s">
        <v>54</v>
      </c>
    </row>
    <row r="417" spans="1:13" x14ac:dyDescent="0.35">
      <c r="A417" s="4">
        <v>314447</v>
      </c>
      <c r="B417" s="2">
        <v>6710852405</v>
      </c>
      <c r="C417" s="2" t="s">
        <v>3</v>
      </c>
      <c r="D417" s="2" t="s">
        <v>19</v>
      </c>
      <c r="E417" s="3">
        <v>45440</v>
      </c>
      <c r="F417" s="2" t="s">
        <v>21</v>
      </c>
      <c r="G417" s="2" t="s">
        <v>22</v>
      </c>
      <c r="H417" s="2" t="s">
        <v>29</v>
      </c>
      <c r="I417" s="2">
        <v>367.08</v>
      </c>
      <c r="J417" s="2">
        <v>4113.78</v>
      </c>
      <c r="K417" s="2">
        <v>3746.7</v>
      </c>
      <c r="L417" s="2" t="s">
        <v>41</v>
      </c>
      <c r="M417" s="5" t="s">
        <v>48</v>
      </c>
    </row>
    <row r="418" spans="1:13" x14ac:dyDescent="0.35">
      <c r="A418" s="4">
        <v>558506</v>
      </c>
      <c r="B418" s="2">
        <v>3502730449</v>
      </c>
      <c r="C418" s="2" t="s">
        <v>4</v>
      </c>
      <c r="D418" s="2" t="s">
        <v>17</v>
      </c>
      <c r="E418" s="3">
        <v>45503</v>
      </c>
      <c r="F418" s="2" t="s">
        <v>35</v>
      </c>
      <c r="G418" s="2" t="s">
        <v>22</v>
      </c>
      <c r="H418" s="2" t="s">
        <v>29</v>
      </c>
      <c r="I418" s="2">
        <v>83.51</v>
      </c>
      <c r="J418" s="2">
        <v>5420.25</v>
      </c>
      <c r="K418" s="2">
        <v>5336.74</v>
      </c>
      <c r="L418" s="2" t="s">
        <v>47</v>
      </c>
      <c r="M418" s="5" t="s">
        <v>40</v>
      </c>
    </row>
    <row r="419" spans="1:13" x14ac:dyDescent="0.35">
      <c r="A419" s="4">
        <v>672289</v>
      </c>
      <c r="B419" s="2">
        <v>4534607014</v>
      </c>
      <c r="C419" s="2" t="s">
        <v>3</v>
      </c>
      <c r="D419" s="2" t="s">
        <v>18</v>
      </c>
      <c r="E419" s="3">
        <v>44822</v>
      </c>
      <c r="F419" s="2" t="s">
        <v>21</v>
      </c>
      <c r="G419" s="2" t="s">
        <v>27</v>
      </c>
      <c r="H419" s="2" t="s">
        <v>28</v>
      </c>
      <c r="I419" s="2">
        <v>0</v>
      </c>
      <c r="J419" s="2">
        <v>214.19</v>
      </c>
      <c r="K419" s="2">
        <v>214.19</v>
      </c>
      <c r="L419" s="2" t="s">
        <v>37</v>
      </c>
      <c r="M419" s="5" t="s">
        <v>51</v>
      </c>
    </row>
    <row r="420" spans="1:13" x14ac:dyDescent="0.35">
      <c r="A420" s="4">
        <v>423766</v>
      </c>
      <c r="B420" s="2">
        <v>9020432932</v>
      </c>
      <c r="C420" s="2" t="s">
        <v>5</v>
      </c>
      <c r="D420" s="2" t="s">
        <v>18</v>
      </c>
      <c r="E420" s="3">
        <v>44817</v>
      </c>
      <c r="F420" s="2" t="s">
        <v>21</v>
      </c>
      <c r="G420" s="2" t="s">
        <v>27</v>
      </c>
      <c r="H420" s="2" t="s">
        <v>28</v>
      </c>
      <c r="I420" s="2">
        <v>0</v>
      </c>
      <c r="J420" s="2">
        <v>3053.97</v>
      </c>
      <c r="K420" s="2">
        <v>3053.97</v>
      </c>
      <c r="L420" s="2" t="s">
        <v>37</v>
      </c>
      <c r="M420" s="5" t="s">
        <v>51</v>
      </c>
    </row>
    <row r="421" spans="1:13" x14ac:dyDescent="0.35">
      <c r="A421" s="4">
        <v>103872</v>
      </c>
      <c r="B421" s="2">
        <v>4442125915</v>
      </c>
      <c r="C421" s="2" t="s">
        <v>4</v>
      </c>
      <c r="D421" s="2" t="s">
        <v>16</v>
      </c>
      <c r="E421" s="3">
        <v>45416</v>
      </c>
      <c r="F421" s="2" t="s">
        <v>21</v>
      </c>
      <c r="G421" s="2" t="s">
        <v>22</v>
      </c>
      <c r="H421" s="2" t="s">
        <v>31</v>
      </c>
      <c r="I421" s="2">
        <v>121.72</v>
      </c>
      <c r="J421" s="2">
        <v>3479.93</v>
      </c>
      <c r="K421" s="2">
        <v>3358.21</v>
      </c>
      <c r="L421" s="2" t="s">
        <v>45</v>
      </c>
      <c r="M421" s="5" t="s">
        <v>56</v>
      </c>
    </row>
    <row r="422" spans="1:13" x14ac:dyDescent="0.35">
      <c r="A422" s="4">
        <v>492722</v>
      </c>
      <c r="B422" s="2">
        <v>7583655883</v>
      </c>
      <c r="C422" s="2" t="s">
        <v>3</v>
      </c>
      <c r="D422" s="2" t="s">
        <v>18</v>
      </c>
      <c r="E422" s="3">
        <v>43976</v>
      </c>
      <c r="F422" s="2" t="s">
        <v>21</v>
      </c>
      <c r="G422" s="2" t="s">
        <v>22</v>
      </c>
      <c r="H422" s="2" t="s">
        <v>29</v>
      </c>
      <c r="I422" s="2">
        <v>328.23</v>
      </c>
      <c r="J422" s="2">
        <v>2575.71</v>
      </c>
      <c r="K422" s="2">
        <v>2247.48</v>
      </c>
      <c r="L422" s="2" t="s">
        <v>37</v>
      </c>
      <c r="M422" s="5" t="s">
        <v>40</v>
      </c>
    </row>
    <row r="423" spans="1:13" x14ac:dyDescent="0.35">
      <c r="A423" s="4">
        <v>774219</v>
      </c>
      <c r="B423" s="2">
        <v>3784372189</v>
      </c>
      <c r="C423" s="2" t="s">
        <v>5</v>
      </c>
      <c r="D423" s="2" t="s">
        <v>16</v>
      </c>
      <c r="E423" s="3">
        <v>44656</v>
      </c>
      <c r="F423" s="2" t="s">
        <v>5</v>
      </c>
      <c r="G423" s="2" t="s">
        <v>22</v>
      </c>
      <c r="H423" s="2" t="s">
        <v>29</v>
      </c>
      <c r="I423" s="2">
        <v>357.15</v>
      </c>
      <c r="J423" s="2">
        <v>1962.52</v>
      </c>
      <c r="K423" s="2">
        <v>1605.37</v>
      </c>
      <c r="L423" s="2" t="s">
        <v>37</v>
      </c>
      <c r="M423" s="5" t="s">
        <v>39</v>
      </c>
    </row>
    <row r="424" spans="1:13" x14ac:dyDescent="0.35">
      <c r="A424" s="4">
        <v>200195</v>
      </c>
      <c r="B424" s="2">
        <v>7552325341</v>
      </c>
      <c r="C424" s="2" t="s">
        <v>4</v>
      </c>
      <c r="D424" s="2" t="s">
        <v>19</v>
      </c>
      <c r="E424" s="3">
        <v>43849</v>
      </c>
      <c r="F424" s="2" t="s">
        <v>35</v>
      </c>
      <c r="G424" s="2" t="s">
        <v>27</v>
      </c>
      <c r="H424" s="2" t="s">
        <v>28</v>
      </c>
      <c r="I424" s="2">
        <v>0</v>
      </c>
      <c r="J424" s="2">
        <v>2498.96</v>
      </c>
      <c r="K424" s="2">
        <v>2498.96</v>
      </c>
      <c r="L424" s="2" t="s">
        <v>37</v>
      </c>
      <c r="M424" s="5" t="s">
        <v>54</v>
      </c>
    </row>
    <row r="425" spans="1:13" x14ac:dyDescent="0.35">
      <c r="A425" s="4">
        <v>991703</v>
      </c>
      <c r="B425" s="2">
        <v>8093088224</v>
      </c>
      <c r="C425" s="2" t="s">
        <v>4</v>
      </c>
      <c r="D425" s="2" t="s">
        <v>18</v>
      </c>
      <c r="E425" s="3">
        <v>43832</v>
      </c>
      <c r="F425" s="2" t="s">
        <v>21</v>
      </c>
      <c r="G425" s="2" t="s">
        <v>22</v>
      </c>
      <c r="H425" s="2" t="s">
        <v>33</v>
      </c>
      <c r="I425" s="2">
        <v>480.32</v>
      </c>
      <c r="J425" s="2">
        <v>2462.5700000000002</v>
      </c>
      <c r="K425" s="2">
        <v>1982.25</v>
      </c>
      <c r="L425" s="2" t="s">
        <v>43</v>
      </c>
      <c r="M425" s="5" t="s">
        <v>39</v>
      </c>
    </row>
    <row r="426" spans="1:13" x14ac:dyDescent="0.35">
      <c r="A426" s="4">
        <v>994343</v>
      </c>
      <c r="B426" s="2">
        <v>9608672665</v>
      </c>
      <c r="C426" s="2" t="s">
        <v>4</v>
      </c>
      <c r="D426" s="2" t="s">
        <v>18</v>
      </c>
      <c r="E426" s="3">
        <v>44534</v>
      </c>
      <c r="F426" s="2" t="s">
        <v>21</v>
      </c>
      <c r="G426" s="2" t="s">
        <v>22</v>
      </c>
      <c r="H426" s="2" t="s">
        <v>33</v>
      </c>
      <c r="I426" s="2">
        <v>422.94</v>
      </c>
      <c r="J426" s="2">
        <v>4852.53</v>
      </c>
      <c r="K426" s="2">
        <v>4429.59</v>
      </c>
      <c r="L426" s="2" t="s">
        <v>41</v>
      </c>
      <c r="M426" s="5" t="s">
        <v>38</v>
      </c>
    </row>
    <row r="427" spans="1:13" x14ac:dyDescent="0.35">
      <c r="A427" s="4">
        <v>366121</v>
      </c>
      <c r="B427" s="2">
        <v>6419777398</v>
      </c>
      <c r="C427" s="2" t="s">
        <v>4</v>
      </c>
      <c r="D427" s="2" t="s">
        <v>18</v>
      </c>
      <c r="E427" s="3">
        <v>44259</v>
      </c>
      <c r="F427" s="2" t="s">
        <v>36</v>
      </c>
      <c r="G427" s="2" t="s">
        <v>27</v>
      </c>
      <c r="H427" s="2" t="s">
        <v>28</v>
      </c>
      <c r="I427" s="2">
        <v>0</v>
      </c>
      <c r="J427" s="2">
        <v>367.13</v>
      </c>
      <c r="K427" s="2">
        <v>367.13</v>
      </c>
      <c r="L427" s="2" t="s">
        <v>45</v>
      </c>
      <c r="M427" s="5" t="s">
        <v>39</v>
      </c>
    </row>
    <row r="428" spans="1:13" x14ac:dyDescent="0.35">
      <c r="A428" s="4">
        <v>385166</v>
      </c>
      <c r="B428" s="2">
        <v>7404978653</v>
      </c>
      <c r="C428" s="2" t="s">
        <v>3</v>
      </c>
      <c r="D428" s="2" t="s">
        <v>16</v>
      </c>
      <c r="E428" s="3">
        <v>45166</v>
      </c>
      <c r="F428" s="2" t="s">
        <v>34</v>
      </c>
      <c r="G428" s="2" t="s">
        <v>27</v>
      </c>
      <c r="H428" s="2" t="s">
        <v>28</v>
      </c>
      <c r="I428" s="2">
        <v>0</v>
      </c>
      <c r="J428" s="2">
        <v>2552.42</v>
      </c>
      <c r="K428" s="2">
        <v>2552.42</v>
      </c>
      <c r="L428" s="2" t="s">
        <v>41</v>
      </c>
      <c r="M428" s="5" t="s">
        <v>40</v>
      </c>
    </row>
    <row r="429" spans="1:13" x14ac:dyDescent="0.35">
      <c r="A429" s="4">
        <v>696613</v>
      </c>
      <c r="B429" s="2">
        <v>5262403017</v>
      </c>
      <c r="C429" s="2" t="s">
        <v>4</v>
      </c>
      <c r="D429" s="2" t="s">
        <v>16</v>
      </c>
      <c r="E429" s="3">
        <v>44539</v>
      </c>
      <c r="F429" s="2" t="s">
        <v>25</v>
      </c>
      <c r="G429" s="2" t="s">
        <v>22</v>
      </c>
      <c r="H429" s="2" t="s">
        <v>31</v>
      </c>
      <c r="I429" s="2">
        <v>313.52</v>
      </c>
      <c r="J429" s="2">
        <v>4099.42</v>
      </c>
      <c r="K429" s="2">
        <v>3785.9</v>
      </c>
      <c r="L429" s="2" t="s">
        <v>37</v>
      </c>
      <c r="M429" s="5" t="s">
        <v>39</v>
      </c>
    </row>
    <row r="430" spans="1:13" x14ac:dyDescent="0.35">
      <c r="A430" s="4">
        <v>615929</v>
      </c>
      <c r="B430" s="2">
        <v>3759776110</v>
      </c>
      <c r="C430" s="2" t="s">
        <v>4</v>
      </c>
      <c r="D430" s="2" t="s">
        <v>16</v>
      </c>
      <c r="E430" s="3">
        <v>43842</v>
      </c>
      <c r="F430" s="2" t="s">
        <v>35</v>
      </c>
      <c r="G430" s="2" t="s">
        <v>27</v>
      </c>
      <c r="H430" s="2" t="s">
        <v>28</v>
      </c>
      <c r="I430" s="2">
        <v>0</v>
      </c>
      <c r="J430" s="2">
        <v>5676.52</v>
      </c>
      <c r="K430" s="2">
        <v>5676.52</v>
      </c>
      <c r="L430" s="2" t="s">
        <v>37</v>
      </c>
      <c r="M430" s="5" t="s">
        <v>49</v>
      </c>
    </row>
    <row r="431" spans="1:13" x14ac:dyDescent="0.35">
      <c r="A431" s="4">
        <v>508875</v>
      </c>
      <c r="B431" s="2">
        <v>3532530033</v>
      </c>
      <c r="C431" s="2" t="s">
        <v>4</v>
      </c>
      <c r="D431" s="2" t="s">
        <v>18</v>
      </c>
      <c r="E431" s="3">
        <v>43783</v>
      </c>
      <c r="F431" s="2" t="s">
        <v>32</v>
      </c>
      <c r="G431" s="2" t="s">
        <v>27</v>
      </c>
      <c r="H431" s="2" t="s">
        <v>28</v>
      </c>
      <c r="I431" s="2">
        <v>0</v>
      </c>
      <c r="J431" s="2">
        <v>5218.6400000000003</v>
      </c>
      <c r="K431" s="2">
        <v>5218.6400000000003</v>
      </c>
      <c r="L431" s="2" t="s">
        <v>37</v>
      </c>
      <c r="M431" s="5" t="s">
        <v>40</v>
      </c>
    </row>
    <row r="432" spans="1:13" x14ac:dyDescent="0.35">
      <c r="A432" s="4">
        <v>510950</v>
      </c>
      <c r="B432" s="2">
        <v>1530390644</v>
      </c>
      <c r="C432" s="2" t="s">
        <v>3</v>
      </c>
      <c r="D432" s="2" t="s">
        <v>19</v>
      </c>
      <c r="E432" s="3">
        <v>44193</v>
      </c>
      <c r="F432" s="2" t="s">
        <v>35</v>
      </c>
      <c r="G432" s="2" t="s">
        <v>27</v>
      </c>
      <c r="H432" s="2" t="s">
        <v>28</v>
      </c>
      <c r="I432" s="2">
        <v>0</v>
      </c>
      <c r="J432" s="2">
        <v>7046.22</v>
      </c>
      <c r="K432" s="2">
        <v>7046.22</v>
      </c>
      <c r="L432" s="2" t="s">
        <v>37</v>
      </c>
      <c r="M432" s="5" t="s">
        <v>57</v>
      </c>
    </row>
    <row r="433" spans="1:13" x14ac:dyDescent="0.35">
      <c r="A433" s="4">
        <v>829716</v>
      </c>
      <c r="B433" s="2">
        <v>1056662473</v>
      </c>
      <c r="C433" s="2" t="s">
        <v>4</v>
      </c>
      <c r="D433" s="2" t="s">
        <v>20</v>
      </c>
      <c r="E433" s="3">
        <v>45627</v>
      </c>
      <c r="F433" s="2" t="s">
        <v>35</v>
      </c>
      <c r="G433" s="2" t="s">
        <v>22</v>
      </c>
      <c r="H433" s="2" t="s">
        <v>24</v>
      </c>
      <c r="I433" s="2">
        <v>386.73</v>
      </c>
      <c r="J433" s="2">
        <v>5098.7299999999996</v>
      </c>
      <c r="K433" s="2">
        <v>4712</v>
      </c>
      <c r="L433" s="2" t="s">
        <v>37</v>
      </c>
      <c r="M433" s="5" t="s">
        <v>49</v>
      </c>
    </row>
    <row r="434" spans="1:13" x14ac:dyDescent="0.35">
      <c r="A434" s="4">
        <v>907868</v>
      </c>
      <c r="B434" s="2">
        <v>3686777209</v>
      </c>
      <c r="C434" s="2" t="s">
        <v>3</v>
      </c>
      <c r="D434" s="2" t="s">
        <v>18</v>
      </c>
      <c r="E434" s="3">
        <v>45260</v>
      </c>
      <c r="F434" s="2" t="s">
        <v>30</v>
      </c>
      <c r="G434" s="2" t="s">
        <v>27</v>
      </c>
      <c r="H434" s="2" t="s">
        <v>28</v>
      </c>
      <c r="I434" s="2">
        <v>0</v>
      </c>
      <c r="J434" s="2">
        <v>1704.27</v>
      </c>
      <c r="K434" s="2">
        <v>1704.27</v>
      </c>
      <c r="L434" s="2" t="s">
        <v>43</v>
      </c>
      <c r="M434" s="5" t="s">
        <v>51</v>
      </c>
    </row>
    <row r="435" spans="1:13" x14ac:dyDescent="0.35">
      <c r="A435" s="4">
        <v>898977</v>
      </c>
      <c r="B435" s="2">
        <v>2182134112</v>
      </c>
      <c r="C435" s="2" t="s">
        <v>5</v>
      </c>
      <c r="D435" s="2" t="s">
        <v>19</v>
      </c>
      <c r="E435" s="3">
        <v>45503</v>
      </c>
      <c r="F435" s="2" t="s">
        <v>35</v>
      </c>
      <c r="G435" s="2" t="s">
        <v>27</v>
      </c>
      <c r="H435" s="2" t="s">
        <v>28</v>
      </c>
      <c r="I435" s="2">
        <v>0</v>
      </c>
      <c r="J435" s="2">
        <v>3686.25</v>
      </c>
      <c r="K435" s="2">
        <v>3686.25</v>
      </c>
      <c r="L435" s="2" t="s">
        <v>37</v>
      </c>
      <c r="M435" s="5" t="s">
        <v>5</v>
      </c>
    </row>
    <row r="436" spans="1:13" x14ac:dyDescent="0.35">
      <c r="A436" s="4">
        <v>512040</v>
      </c>
      <c r="B436" s="2">
        <v>5393569960</v>
      </c>
      <c r="C436" s="2" t="s">
        <v>3</v>
      </c>
      <c r="D436" s="2" t="s">
        <v>16</v>
      </c>
      <c r="E436" s="3">
        <v>44798</v>
      </c>
      <c r="F436" s="2" t="s">
        <v>21</v>
      </c>
      <c r="G436" s="2" t="s">
        <v>27</v>
      </c>
      <c r="H436" s="2" t="s">
        <v>28</v>
      </c>
      <c r="I436" s="2">
        <v>0</v>
      </c>
      <c r="J436" s="2">
        <v>2164.44</v>
      </c>
      <c r="K436" s="2">
        <v>2164.44</v>
      </c>
      <c r="L436" s="2" t="s">
        <v>37</v>
      </c>
      <c r="M436" s="5" t="s">
        <v>39</v>
      </c>
    </row>
    <row r="437" spans="1:13" x14ac:dyDescent="0.35">
      <c r="A437" s="4">
        <v>254021</v>
      </c>
      <c r="B437" s="2">
        <v>1778068163</v>
      </c>
      <c r="C437" s="2" t="s">
        <v>3</v>
      </c>
      <c r="D437" s="2" t="s">
        <v>18</v>
      </c>
      <c r="E437" s="3">
        <v>44432</v>
      </c>
      <c r="F437" s="2" t="s">
        <v>35</v>
      </c>
      <c r="G437" s="2" t="s">
        <v>27</v>
      </c>
      <c r="H437" s="2" t="s">
        <v>28</v>
      </c>
      <c r="I437" s="2">
        <v>0</v>
      </c>
      <c r="J437" s="2">
        <v>3864.6</v>
      </c>
      <c r="K437" s="2">
        <v>3864.6</v>
      </c>
      <c r="L437" s="2" t="s">
        <v>42</v>
      </c>
      <c r="M437" s="5" t="s">
        <v>39</v>
      </c>
    </row>
    <row r="438" spans="1:13" x14ac:dyDescent="0.35">
      <c r="A438" s="4">
        <v>665847</v>
      </c>
      <c r="B438" s="2">
        <v>4654940176</v>
      </c>
      <c r="C438" s="2" t="s">
        <v>4</v>
      </c>
      <c r="D438" s="2" t="s">
        <v>16</v>
      </c>
      <c r="E438" s="3">
        <v>45202</v>
      </c>
      <c r="F438" s="2" t="s">
        <v>25</v>
      </c>
      <c r="G438" s="2" t="s">
        <v>22</v>
      </c>
      <c r="H438" s="2" t="s">
        <v>31</v>
      </c>
      <c r="I438" s="2">
        <v>370.49</v>
      </c>
      <c r="J438" s="2">
        <v>3714.2</v>
      </c>
      <c r="K438" s="2">
        <v>3343.71</v>
      </c>
      <c r="L438" s="2" t="s">
        <v>37</v>
      </c>
      <c r="M438" s="5" t="s">
        <v>51</v>
      </c>
    </row>
    <row r="439" spans="1:13" x14ac:dyDescent="0.35">
      <c r="A439" s="4">
        <v>151605</v>
      </c>
      <c r="B439" s="2">
        <v>3597287435</v>
      </c>
      <c r="C439" s="2" t="s">
        <v>5</v>
      </c>
      <c r="D439" s="2" t="s">
        <v>19</v>
      </c>
      <c r="E439" s="3">
        <v>44097</v>
      </c>
      <c r="F439" s="2" t="s">
        <v>21</v>
      </c>
      <c r="G439" s="2" t="s">
        <v>27</v>
      </c>
      <c r="H439" s="2" t="s">
        <v>28</v>
      </c>
      <c r="I439" s="2">
        <v>0</v>
      </c>
      <c r="J439" s="2">
        <v>4308.1499999999996</v>
      </c>
      <c r="K439" s="2">
        <v>4308.1499999999996</v>
      </c>
      <c r="L439" s="2" t="s">
        <v>45</v>
      </c>
      <c r="M439" s="5" t="s">
        <v>39</v>
      </c>
    </row>
    <row r="440" spans="1:13" x14ac:dyDescent="0.35">
      <c r="A440" s="4">
        <v>670807</v>
      </c>
      <c r="B440" s="2">
        <v>5362300755</v>
      </c>
      <c r="C440" s="2" t="s">
        <v>4</v>
      </c>
      <c r="D440" s="2" t="s">
        <v>19</v>
      </c>
      <c r="E440" s="3">
        <v>44249</v>
      </c>
      <c r="F440" s="2" t="s">
        <v>21</v>
      </c>
      <c r="G440" s="2" t="s">
        <v>22</v>
      </c>
      <c r="H440" s="2" t="s">
        <v>29</v>
      </c>
      <c r="I440" s="2">
        <v>138.38999999999999</v>
      </c>
      <c r="J440" s="2">
        <v>3466.69</v>
      </c>
      <c r="K440" s="2">
        <v>3328.3</v>
      </c>
      <c r="L440" s="2" t="s">
        <v>41</v>
      </c>
      <c r="M440" s="5" t="s">
        <v>48</v>
      </c>
    </row>
    <row r="441" spans="1:13" x14ac:dyDescent="0.35">
      <c r="A441" s="4">
        <v>129576</v>
      </c>
      <c r="B441" s="2">
        <v>4807211539</v>
      </c>
      <c r="C441" s="2" t="s">
        <v>5</v>
      </c>
      <c r="D441" s="2" t="s">
        <v>16</v>
      </c>
      <c r="E441" s="3">
        <v>43769</v>
      </c>
      <c r="F441" s="2" t="s">
        <v>32</v>
      </c>
      <c r="G441" s="2" t="s">
        <v>27</v>
      </c>
      <c r="H441" s="2" t="s">
        <v>28</v>
      </c>
      <c r="I441" s="2">
        <v>0</v>
      </c>
      <c r="J441" s="2">
        <v>4268.68</v>
      </c>
      <c r="K441" s="2">
        <v>4268.68</v>
      </c>
      <c r="L441" s="2" t="s">
        <v>50</v>
      </c>
      <c r="M441" s="5" t="s">
        <v>54</v>
      </c>
    </row>
    <row r="442" spans="1:13" x14ac:dyDescent="0.35">
      <c r="A442" s="4">
        <v>599250</v>
      </c>
      <c r="B442" s="2">
        <v>1839947796</v>
      </c>
      <c r="C442" s="2" t="s">
        <v>5</v>
      </c>
      <c r="D442" s="2" t="s">
        <v>17</v>
      </c>
      <c r="E442" s="3">
        <v>44150</v>
      </c>
      <c r="F442" s="2" t="s">
        <v>35</v>
      </c>
      <c r="G442" s="2" t="s">
        <v>22</v>
      </c>
      <c r="H442" s="2" t="s">
        <v>24</v>
      </c>
      <c r="I442" s="2">
        <v>150.49</v>
      </c>
      <c r="J442" s="2">
        <v>5316.54</v>
      </c>
      <c r="K442" s="2">
        <v>5166.05</v>
      </c>
      <c r="L442" s="2" t="s">
        <v>41</v>
      </c>
      <c r="M442" s="5" t="s">
        <v>39</v>
      </c>
    </row>
    <row r="443" spans="1:13" x14ac:dyDescent="0.35">
      <c r="A443" s="4">
        <v>841935</v>
      </c>
      <c r="B443" s="2">
        <v>8784139619</v>
      </c>
      <c r="C443" s="2" t="s">
        <v>3</v>
      </c>
      <c r="D443" s="2" t="s">
        <v>16</v>
      </c>
      <c r="E443" s="3">
        <v>44442</v>
      </c>
      <c r="F443" s="2" t="s">
        <v>35</v>
      </c>
      <c r="G443" s="2" t="s">
        <v>22</v>
      </c>
      <c r="H443" s="2" t="s">
        <v>31</v>
      </c>
      <c r="I443" s="2">
        <v>412.94</v>
      </c>
      <c r="J443" s="2">
        <v>3268.83</v>
      </c>
      <c r="K443" s="2">
        <v>2855.89</v>
      </c>
      <c r="L443" s="2" t="s">
        <v>37</v>
      </c>
      <c r="M443" s="5" t="s">
        <v>51</v>
      </c>
    </row>
    <row r="444" spans="1:13" x14ac:dyDescent="0.35">
      <c r="A444" s="4">
        <v>852570</v>
      </c>
      <c r="B444" s="2">
        <v>9180617906</v>
      </c>
      <c r="C444" s="2" t="s">
        <v>5</v>
      </c>
      <c r="D444" s="2" t="s">
        <v>16</v>
      </c>
      <c r="E444" s="3">
        <v>45043</v>
      </c>
      <c r="F444" s="2" t="s">
        <v>21</v>
      </c>
      <c r="G444" s="2" t="s">
        <v>22</v>
      </c>
      <c r="H444" s="2" t="s">
        <v>31</v>
      </c>
      <c r="I444" s="2">
        <v>267.58</v>
      </c>
      <c r="J444" s="2">
        <v>2268.19</v>
      </c>
      <c r="K444" s="2">
        <v>2000.61</v>
      </c>
      <c r="L444" s="2" t="s">
        <v>37</v>
      </c>
      <c r="M444" s="5" t="s">
        <v>49</v>
      </c>
    </row>
    <row r="445" spans="1:13" x14ac:dyDescent="0.35">
      <c r="A445" s="4">
        <v>630734</v>
      </c>
      <c r="B445" s="2">
        <v>5891507428</v>
      </c>
      <c r="C445" s="2" t="s">
        <v>5</v>
      </c>
      <c r="D445" s="2" t="s">
        <v>18</v>
      </c>
      <c r="E445" s="3">
        <v>45481</v>
      </c>
      <c r="F445" s="2" t="s">
        <v>21</v>
      </c>
      <c r="G445" s="2" t="s">
        <v>27</v>
      </c>
      <c r="H445" s="2" t="s">
        <v>28</v>
      </c>
      <c r="I445" s="2">
        <v>0</v>
      </c>
      <c r="J445" s="2">
        <v>2540.31</v>
      </c>
      <c r="K445" s="2">
        <v>2540.31</v>
      </c>
      <c r="L445" s="2" t="s">
        <v>37</v>
      </c>
      <c r="M445" s="5" t="s">
        <v>38</v>
      </c>
    </row>
    <row r="446" spans="1:13" x14ac:dyDescent="0.35">
      <c r="A446" s="4">
        <v>400878</v>
      </c>
      <c r="B446" s="2">
        <v>7232995309</v>
      </c>
      <c r="C446" s="2" t="s">
        <v>5</v>
      </c>
      <c r="D446" s="2" t="s">
        <v>18</v>
      </c>
      <c r="E446" s="3">
        <v>44206</v>
      </c>
      <c r="F446" s="2" t="s">
        <v>21</v>
      </c>
      <c r="G446" s="2" t="s">
        <v>27</v>
      </c>
      <c r="H446" s="2" t="s">
        <v>28</v>
      </c>
      <c r="I446" s="2">
        <v>0</v>
      </c>
      <c r="J446" s="2">
        <v>5080.95</v>
      </c>
      <c r="K446" s="2">
        <v>5080.95</v>
      </c>
      <c r="L446" s="2" t="s">
        <v>41</v>
      </c>
      <c r="M446" s="5" t="s">
        <v>57</v>
      </c>
    </row>
    <row r="447" spans="1:13" x14ac:dyDescent="0.35">
      <c r="A447" s="4">
        <v>875201</v>
      </c>
      <c r="B447" s="2">
        <v>8022513504</v>
      </c>
      <c r="C447" s="2" t="s">
        <v>4</v>
      </c>
      <c r="D447" s="2" t="s">
        <v>16</v>
      </c>
      <c r="E447" s="3">
        <v>43597</v>
      </c>
      <c r="F447" s="2" t="s">
        <v>35</v>
      </c>
      <c r="G447" s="2" t="s">
        <v>22</v>
      </c>
      <c r="H447" s="2" t="s">
        <v>24</v>
      </c>
      <c r="I447" s="2">
        <v>219.35</v>
      </c>
      <c r="J447" s="2">
        <v>6370.18</v>
      </c>
      <c r="K447" s="2">
        <v>6150.83</v>
      </c>
      <c r="L447" s="2" t="s">
        <v>37</v>
      </c>
      <c r="M447" s="5" t="s">
        <v>49</v>
      </c>
    </row>
    <row r="448" spans="1:13" x14ac:dyDescent="0.35">
      <c r="A448" s="4">
        <v>503754</v>
      </c>
      <c r="B448" s="2">
        <v>6697839141</v>
      </c>
      <c r="C448" s="2" t="s">
        <v>4</v>
      </c>
      <c r="D448" s="2" t="s">
        <v>19</v>
      </c>
      <c r="E448" s="3">
        <v>43837</v>
      </c>
      <c r="F448" s="2" t="s">
        <v>32</v>
      </c>
      <c r="G448" s="2" t="s">
        <v>22</v>
      </c>
      <c r="H448" s="2" t="s">
        <v>24</v>
      </c>
      <c r="I448" s="2">
        <v>112.54</v>
      </c>
      <c r="J448" s="2">
        <v>900.76</v>
      </c>
      <c r="K448" s="2">
        <v>788.22</v>
      </c>
      <c r="L448" s="2" t="s">
        <v>37</v>
      </c>
      <c r="M448" s="5" t="s">
        <v>48</v>
      </c>
    </row>
    <row r="449" spans="1:13" x14ac:dyDescent="0.35">
      <c r="A449" s="4">
        <v>838927</v>
      </c>
      <c r="B449" s="2">
        <v>8570481902</v>
      </c>
      <c r="C449" s="2" t="s">
        <v>4</v>
      </c>
      <c r="D449" s="2" t="s">
        <v>18</v>
      </c>
      <c r="E449" s="3">
        <v>44675</v>
      </c>
      <c r="F449" s="2" t="s">
        <v>21</v>
      </c>
      <c r="G449" s="2" t="s">
        <v>22</v>
      </c>
      <c r="H449" s="2" t="s">
        <v>23</v>
      </c>
      <c r="I449" s="2">
        <v>236.58</v>
      </c>
      <c r="J449" s="2">
        <v>2014.33</v>
      </c>
      <c r="K449" s="2">
        <v>1777.75</v>
      </c>
      <c r="L449" s="2" t="s">
        <v>37</v>
      </c>
      <c r="M449" s="5" t="s">
        <v>49</v>
      </c>
    </row>
    <row r="450" spans="1:13" x14ac:dyDescent="0.35">
      <c r="A450" s="4">
        <v>275018</v>
      </c>
      <c r="B450" s="2">
        <v>7861474450</v>
      </c>
      <c r="C450" s="2" t="s">
        <v>4</v>
      </c>
      <c r="D450" s="2" t="s">
        <v>18</v>
      </c>
      <c r="E450" s="3">
        <v>45202</v>
      </c>
      <c r="F450" s="2" t="s">
        <v>25</v>
      </c>
      <c r="G450" s="2" t="s">
        <v>22</v>
      </c>
      <c r="H450" s="2" t="s">
        <v>33</v>
      </c>
      <c r="I450" s="2">
        <v>107.55</v>
      </c>
      <c r="J450" s="2">
        <v>3446.09</v>
      </c>
      <c r="K450" s="2">
        <v>3338.54</v>
      </c>
      <c r="L450" s="2" t="s">
        <v>37</v>
      </c>
      <c r="M450" s="5" t="s">
        <v>48</v>
      </c>
    </row>
    <row r="451" spans="1:13" x14ac:dyDescent="0.35">
      <c r="A451" s="4">
        <v>320039</v>
      </c>
      <c r="B451" s="2">
        <v>9196159879</v>
      </c>
      <c r="C451" s="2" t="s">
        <v>4</v>
      </c>
      <c r="D451" s="2" t="s">
        <v>18</v>
      </c>
      <c r="E451" s="3">
        <v>44521</v>
      </c>
      <c r="F451" s="2" t="s">
        <v>21</v>
      </c>
      <c r="G451" s="2" t="s">
        <v>22</v>
      </c>
      <c r="H451" s="2" t="s">
        <v>24</v>
      </c>
      <c r="I451" s="2">
        <v>232.46</v>
      </c>
      <c r="J451" s="2">
        <v>6936.69</v>
      </c>
      <c r="K451" s="2">
        <v>6704.23</v>
      </c>
      <c r="L451" s="2" t="s">
        <v>41</v>
      </c>
      <c r="M451" s="5" t="s">
        <v>40</v>
      </c>
    </row>
    <row r="452" spans="1:13" x14ac:dyDescent="0.35">
      <c r="A452" s="4">
        <v>522060</v>
      </c>
      <c r="B452" s="2">
        <v>9803393159</v>
      </c>
      <c r="C452" s="2" t="s">
        <v>5</v>
      </c>
      <c r="D452" s="2" t="s">
        <v>19</v>
      </c>
      <c r="E452" s="3">
        <v>44909</v>
      </c>
      <c r="F452" s="2" t="s">
        <v>26</v>
      </c>
      <c r="G452" s="2" t="s">
        <v>27</v>
      </c>
      <c r="H452" s="2" t="s">
        <v>28</v>
      </c>
      <c r="I452" s="2">
        <v>0</v>
      </c>
      <c r="J452" s="2">
        <v>7013.84</v>
      </c>
      <c r="K452" s="2">
        <v>7013.84</v>
      </c>
      <c r="L452" s="2" t="s">
        <v>50</v>
      </c>
      <c r="M452" s="5" t="s">
        <v>40</v>
      </c>
    </row>
    <row r="453" spans="1:13" x14ac:dyDescent="0.35">
      <c r="A453" s="4">
        <v>780715</v>
      </c>
      <c r="B453" s="2">
        <v>6189517187</v>
      </c>
      <c r="C453" s="2" t="s">
        <v>3</v>
      </c>
      <c r="D453" s="2" t="s">
        <v>16</v>
      </c>
      <c r="E453" s="3">
        <v>44671</v>
      </c>
      <c r="F453" s="2" t="s">
        <v>25</v>
      </c>
      <c r="G453" s="2" t="s">
        <v>27</v>
      </c>
      <c r="H453" s="2" t="s">
        <v>28</v>
      </c>
      <c r="I453" s="2">
        <v>0</v>
      </c>
      <c r="J453" s="2">
        <v>1107.97</v>
      </c>
      <c r="K453" s="2">
        <v>1107.97</v>
      </c>
      <c r="L453" s="2" t="s">
        <v>37</v>
      </c>
      <c r="M453" s="5" t="s">
        <v>44</v>
      </c>
    </row>
    <row r="454" spans="1:13" x14ac:dyDescent="0.35">
      <c r="A454" s="4">
        <v>823255</v>
      </c>
      <c r="B454" s="2">
        <v>2600638537</v>
      </c>
      <c r="C454" s="2" t="s">
        <v>5</v>
      </c>
      <c r="D454" s="2" t="s">
        <v>16</v>
      </c>
      <c r="E454" s="3">
        <v>44517</v>
      </c>
      <c r="F454" s="2" t="s">
        <v>35</v>
      </c>
      <c r="G454" s="2" t="s">
        <v>22</v>
      </c>
      <c r="H454" s="2" t="s">
        <v>33</v>
      </c>
      <c r="I454" s="2">
        <v>436.82</v>
      </c>
      <c r="J454" s="2">
        <v>3712.48</v>
      </c>
      <c r="K454" s="2">
        <v>3275.66</v>
      </c>
      <c r="L454" s="2" t="s">
        <v>37</v>
      </c>
      <c r="M454" s="5" t="s">
        <v>51</v>
      </c>
    </row>
    <row r="455" spans="1:13" x14ac:dyDescent="0.35">
      <c r="A455" s="4">
        <v>446377</v>
      </c>
      <c r="B455" s="2">
        <v>5576646185</v>
      </c>
      <c r="C455" s="2" t="s">
        <v>5</v>
      </c>
      <c r="D455" s="2" t="s">
        <v>19</v>
      </c>
      <c r="E455" s="3">
        <v>44910</v>
      </c>
      <c r="F455" s="2" t="s">
        <v>35</v>
      </c>
      <c r="G455" s="2" t="s">
        <v>22</v>
      </c>
      <c r="H455" s="2" t="s">
        <v>33</v>
      </c>
      <c r="I455" s="2">
        <v>346.73</v>
      </c>
      <c r="J455" s="2">
        <v>7284.65</v>
      </c>
      <c r="K455" s="2">
        <v>6937.92</v>
      </c>
      <c r="L455" s="2" t="s">
        <v>37</v>
      </c>
      <c r="M455" s="5" t="s">
        <v>49</v>
      </c>
    </row>
    <row r="456" spans="1:13" x14ac:dyDescent="0.35">
      <c r="A456" s="4">
        <v>888992</v>
      </c>
      <c r="B456" s="2">
        <v>8109529734</v>
      </c>
      <c r="C456" s="2" t="s">
        <v>5</v>
      </c>
      <c r="D456" s="2" t="s">
        <v>16</v>
      </c>
      <c r="E456" s="3">
        <v>45433</v>
      </c>
      <c r="F456" s="2" t="s">
        <v>32</v>
      </c>
      <c r="G456" s="2" t="s">
        <v>27</v>
      </c>
      <c r="H456" s="2" t="s">
        <v>28</v>
      </c>
      <c r="I456" s="2">
        <v>0</v>
      </c>
      <c r="J456" s="2">
        <v>5491.13</v>
      </c>
      <c r="K456" s="2">
        <v>5491.13</v>
      </c>
      <c r="L456" s="2" t="s">
        <v>47</v>
      </c>
      <c r="M456" s="5" t="s">
        <v>39</v>
      </c>
    </row>
    <row r="457" spans="1:13" x14ac:dyDescent="0.35">
      <c r="A457" s="4">
        <v>271139</v>
      </c>
      <c r="B457" s="2">
        <v>7093841668</v>
      </c>
      <c r="C457" s="2" t="s">
        <v>4</v>
      </c>
      <c r="D457" s="2" t="s">
        <v>19</v>
      </c>
      <c r="E457" s="3">
        <v>45324</v>
      </c>
      <c r="F457" s="2" t="s">
        <v>36</v>
      </c>
      <c r="G457" s="2" t="s">
        <v>22</v>
      </c>
      <c r="H457" s="2" t="s">
        <v>24</v>
      </c>
      <c r="I457" s="2">
        <v>164.53</v>
      </c>
      <c r="J457" s="2">
        <v>4105.95</v>
      </c>
      <c r="K457" s="2">
        <v>3941.42</v>
      </c>
      <c r="L457" s="2" t="s">
        <v>41</v>
      </c>
      <c r="M457" s="5" t="s">
        <v>40</v>
      </c>
    </row>
    <row r="458" spans="1:13" x14ac:dyDescent="0.35">
      <c r="A458" s="4">
        <v>194782</v>
      </c>
      <c r="B458" s="2">
        <v>3123961937</v>
      </c>
      <c r="C458" s="2" t="s">
        <v>3</v>
      </c>
      <c r="D458" s="2" t="s">
        <v>18</v>
      </c>
      <c r="E458" s="3">
        <v>45076</v>
      </c>
      <c r="F458" s="2" t="s">
        <v>32</v>
      </c>
      <c r="G458" s="2" t="s">
        <v>22</v>
      </c>
      <c r="H458" s="2" t="s">
        <v>23</v>
      </c>
      <c r="I458" s="2">
        <v>103.02</v>
      </c>
      <c r="J458" s="2">
        <v>221.87</v>
      </c>
      <c r="K458" s="2">
        <v>118.85</v>
      </c>
      <c r="L458" s="2" t="s">
        <v>41</v>
      </c>
      <c r="M458" s="5" t="s">
        <v>44</v>
      </c>
    </row>
    <row r="459" spans="1:13" x14ac:dyDescent="0.35">
      <c r="A459" s="4">
        <v>781516</v>
      </c>
      <c r="B459" s="2">
        <v>9498182921</v>
      </c>
      <c r="C459" s="2" t="s">
        <v>5</v>
      </c>
      <c r="D459" s="2" t="s">
        <v>18</v>
      </c>
      <c r="E459" s="3">
        <v>44746</v>
      </c>
      <c r="F459" s="2" t="s">
        <v>25</v>
      </c>
      <c r="G459" s="2" t="s">
        <v>27</v>
      </c>
      <c r="H459" s="2" t="s">
        <v>28</v>
      </c>
      <c r="I459" s="2">
        <v>0</v>
      </c>
      <c r="J459" s="2">
        <v>1629.92</v>
      </c>
      <c r="K459" s="2">
        <v>1629.92</v>
      </c>
      <c r="L459" s="2" t="s">
        <v>37</v>
      </c>
      <c r="M459" s="5" t="s">
        <v>38</v>
      </c>
    </row>
    <row r="460" spans="1:13" x14ac:dyDescent="0.35">
      <c r="A460" s="4">
        <v>339357</v>
      </c>
      <c r="B460" s="2">
        <v>7517978795</v>
      </c>
      <c r="C460" s="2" t="s">
        <v>4</v>
      </c>
      <c r="D460" s="2" t="s">
        <v>16</v>
      </c>
      <c r="E460" s="3">
        <v>44326</v>
      </c>
      <c r="F460" s="2" t="s">
        <v>25</v>
      </c>
      <c r="G460" s="2" t="s">
        <v>27</v>
      </c>
      <c r="H460" s="2" t="s">
        <v>28</v>
      </c>
      <c r="I460" s="2">
        <v>0</v>
      </c>
      <c r="J460" s="2">
        <v>3421.53</v>
      </c>
      <c r="K460" s="2">
        <v>3421.53</v>
      </c>
      <c r="L460" s="2" t="s">
        <v>37</v>
      </c>
      <c r="M460" s="5" t="s">
        <v>44</v>
      </c>
    </row>
    <row r="461" spans="1:13" x14ac:dyDescent="0.35">
      <c r="A461" s="4">
        <v>492136</v>
      </c>
      <c r="B461" s="2">
        <v>1662530809</v>
      </c>
      <c r="C461" s="2" t="s">
        <v>4</v>
      </c>
      <c r="D461" s="2" t="s">
        <v>18</v>
      </c>
      <c r="E461" s="3">
        <v>45158</v>
      </c>
      <c r="F461" s="2" t="s">
        <v>25</v>
      </c>
      <c r="G461" s="2" t="s">
        <v>27</v>
      </c>
      <c r="H461" s="2" t="s">
        <v>28</v>
      </c>
      <c r="I461" s="2">
        <v>0</v>
      </c>
      <c r="J461" s="2">
        <v>4685.8100000000004</v>
      </c>
      <c r="K461" s="2">
        <v>4685.8100000000004</v>
      </c>
      <c r="L461" s="2" t="s">
        <v>41</v>
      </c>
      <c r="M461" s="5" t="s">
        <v>40</v>
      </c>
    </row>
    <row r="462" spans="1:13" x14ac:dyDescent="0.35">
      <c r="A462" s="4">
        <v>349532</v>
      </c>
      <c r="B462" s="2">
        <v>7325465784</v>
      </c>
      <c r="C462" s="2" t="s">
        <v>5</v>
      </c>
      <c r="D462" s="2" t="s">
        <v>16</v>
      </c>
      <c r="E462" s="3">
        <v>45446</v>
      </c>
      <c r="F462" s="2" t="s">
        <v>32</v>
      </c>
      <c r="G462" s="2" t="s">
        <v>22</v>
      </c>
      <c r="H462" s="2" t="s">
        <v>33</v>
      </c>
      <c r="I462" s="2">
        <v>278.75</v>
      </c>
      <c r="J462" s="2">
        <v>4705.46</v>
      </c>
      <c r="K462" s="2">
        <v>4426.71</v>
      </c>
      <c r="L462" s="2" t="s">
        <v>45</v>
      </c>
      <c r="M462" s="5" t="s">
        <v>39</v>
      </c>
    </row>
    <row r="463" spans="1:13" x14ac:dyDescent="0.35">
      <c r="A463" s="4">
        <v>780488</v>
      </c>
      <c r="B463" s="2">
        <v>3022927661</v>
      </c>
      <c r="C463" s="2" t="s">
        <v>4</v>
      </c>
      <c r="D463" s="2" t="s">
        <v>16</v>
      </c>
      <c r="E463" s="3">
        <v>45305</v>
      </c>
      <c r="F463" s="2" t="s">
        <v>26</v>
      </c>
      <c r="G463" s="2" t="s">
        <v>22</v>
      </c>
      <c r="H463" s="2" t="s">
        <v>31</v>
      </c>
      <c r="I463" s="2">
        <v>262.25</v>
      </c>
      <c r="J463" s="2">
        <v>3443.84</v>
      </c>
      <c r="K463" s="2">
        <v>3181.59</v>
      </c>
      <c r="L463" s="2" t="s">
        <v>37</v>
      </c>
      <c r="M463" s="5" t="s">
        <v>49</v>
      </c>
    </row>
    <row r="464" spans="1:13" x14ac:dyDescent="0.35">
      <c r="A464" s="4">
        <v>869735</v>
      </c>
      <c r="B464" s="2">
        <v>2248665943</v>
      </c>
      <c r="C464" s="2" t="s">
        <v>3</v>
      </c>
      <c r="D464" s="2" t="s">
        <v>20</v>
      </c>
      <c r="E464" s="3">
        <v>44221</v>
      </c>
      <c r="F464" s="2" t="s">
        <v>21</v>
      </c>
      <c r="G464" s="2" t="s">
        <v>27</v>
      </c>
      <c r="H464" s="2" t="s">
        <v>28</v>
      </c>
      <c r="I464" s="2">
        <v>0</v>
      </c>
      <c r="J464" s="2">
        <v>3096.45</v>
      </c>
      <c r="K464" s="2">
        <v>3096.45</v>
      </c>
      <c r="L464" s="2" t="s">
        <v>37</v>
      </c>
      <c r="M464" s="5" t="s">
        <v>40</v>
      </c>
    </row>
    <row r="465" spans="1:13" x14ac:dyDescent="0.35">
      <c r="A465" s="4">
        <v>224247</v>
      </c>
      <c r="B465" s="2">
        <v>8088604632</v>
      </c>
      <c r="C465" s="2" t="s">
        <v>3</v>
      </c>
      <c r="D465" s="2" t="s">
        <v>19</v>
      </c>
      <c r="E465" s="3">
        <v>45469</v>
      </c>
      <c r="F465" s="2" t="s">
        <v>5</v>
      </c>
      <c r="G465" s="2" t="s">
        <v>27</v>
      </c>
      <c r="H465" s="2" t="s">
        <v>28</v>
      </c>
      <c r="I465" s="2">
        <v>0</v>
      </c>
      <c r="J465" s="2">
        <v>2563.89</v>
      </c>
      <c r="K465" s="2">
        <v>2563.89</v>
      </c>
      <c r="L465" s="2" t="s">
        <v>37</v>
      </c>
      <c r="M465" s="5" t="s">
        <v>51</v>
      </c>
    </row>
    <row r="466" spans="1:13" x14ac:dyDescent="0.35">
      <c r="A466" s="4">
        <v>703027</v>
      </c>
      <c r="B466" s="2">
        <v>6376535626</v>
      </c>
      <c r="C466" s="2" t="s">
        <v>5</v>
      </c>
      <c r="D466" s="2" t="s">
        <v>18</v>
      </c>
      <c r="E466" s="3">
        <v>44485</v>
      </c>
      <c r="F466" s="2" t="s">
        <v>36</v>
      </c>
      <c r="G466" s="2" t="s">
        <v>22</v>
      </c>
      <c r="H466" s="2" t="s">
        <v>23</v>
      </c>
      <c r="I466" s="2">
        <v>353.31</v>
      </c>
      <c r="J466" s="2">
        <v>2292.64</v>
      </c>
      <c r="K466" s="2">
        <v>1939.33</v>
      </c>
      <c r="L466" s="2" t="s">
        <v>41</v>
      </c>
      <c r="M466" s="5" t="s">
        <v>54</v>
      </c>
    </row>
    <row r="467" spans="1:13" x14ac:dyDescent="0.35">
      <c r="A467" s="4">
        <v>198246</v>
      </c>
      <c r="B467" s="2">
        <v>8425140298</v>
      </c>
      <c r="C467" s="2" t="s">
        <v>5</v>
      </c>
      <c r="D467" s="2" t="s">
        <v>16</v>
      </c>
      <c r="E467" s="3">
        <v>44600</v>
      </c>
      <c r="F467" s="2" t="s">
        <v>21</v>
      </c>
      <c r="G467" s="2" t="s">
        <v>27</v>
      </c>
      <c r="H467" s="2" t="s">
        <v>28</v>
      </c>
      <c r="I467" s="2">
        <v>0</v>
      </c>
      <c r="J467" s="2">
        <v>3441.36</v>
      </c>
      <c r="K467" s="2">
        <v>3441.36</v>
      </c>
      <c r="L467" s="2" t="s">
        <v>37</v>
      </c>
      <c r="M467" s="5" t="s">
        <v>38</v>
      </c>
    </row>
    <row r="468" spans="1:13" x14ac:dyDescent="0.35">
      <c r="A468" s="4">
        <v>977784</v>
      </c>
      <c r="B468" s="2">
        <v>5431005078</v>
      </c>
      <c r="C468" s="2" t="s">
        <v>3</v>
      </c>
      <c r="D468" s="2" t="s">
        <v>16</v>
      </c>
      <c r="E468" s="3">
        <v>43508</v>
      </c>
      <c r="F468" s="2" t="s">
        <v>26</v>
      </c>
      <c r="G468" s="2" t="s">
        <v>27</v>
      </c>
      <c r="H468" s="2" t="s">
        <v>28</v>
      </c>
      <c r="I468" s="2">
        <v>0</v>
      </c>
      <c r="J468" s="2">
        <v>2569.35</v>
      </c>
      <c r="K468" s="2">
        <v>2569.35</v>
      </c>
      <c r="L468" s="2" t="s">
        <v>42</v>
      </c>
      <c r="M468" s="5" t="s">
        <v>44</v>
      </c>
    </row>
    <row r="469" spans="1:13" x14ac:dyDescent="0.35">
      <c r="A469" s="4">
        <v>497607</v>
      </c>
      <c r="B469" s="2">
        <v>8689905174</v>
      </c>
      <c r="C469" s="2" t="s">
        <v>3</v>
      </c>
      <c r="D469" s="2" t="s">
        <v>16</v>
      </c>
      <c r="E469" s="3">
        <v>44718</v>
      </c>
      <c r="F469" s="2" t="s">
        <v>5</v>
      </c>
      <c r="G469" s="2" t="s">
        <v>22</v>
      </c>
      <c r="H469" s="2" t="s">
        <v>24</v>
      </c>
      <c r="I469" s="2">
        <v>97.91</v>
      </c>
      <c r="J469" s="2">
        <v>518.61</v>
      </c>
      <c r="K469" s="2">
        <v>420.7</v>
      </c>
      <c r="L469" s="2" t="s">
        <v>41</v>
      </c>
      <c r="M469" s="5" t="s">
        <v>51</v>
      </c>
    </row>
    <row r="470" spans="1:13" x14ac:dyDescent="0.35">
      <c r="A470" s="4">
        <v>418801</v>
      </c>
      <c r="B470" s="2">
        <v>4434727725</v>
      </c>
      <c r="C470" s="2" t="s">
        <v>4</v>
      </c>
      <c r="D470" s="2" t="s">
        <v>18</v>
      </c>
      <c r="E470" s="3">
        <v>44849</v>
      </c>
      <c r="F470" s="2" t="s">
        <v>21</v>
      </c>
      <c r="G470" s="2" t="s">
        <v>27</v>
      </c>
      <c r="H470" s="2" t="s">
        <v>28</v>
      </c>
      <c r="I470" s="2">
        <v>0</v>
      </c>
      <c r="J470" s="2">
        <v>4448.79</v>
      </c>
      <c r="K470" s="2">
        <v>4448.79</v>
      </c>
      <c r="L470" s="2" t="s">
        <v>41</v>
      </c>
      <c r="M470" s="5" t="s">
        <v>39</v>
      </c>
    </row>
    <row r="471" spans="1:13" x14ac:dyDescent="0.35">
      <c r="A471" s="4">
        <v>906411</v>
      </c>
      <c r="B471" s="2">
        <v>9726862845</v>
      </c>
      <c r="C471" s="2" t="s">
        <v>4</v>
      </c>
      <c r="D471" s="2" t="s">
        <v>17</v>
      </c>
      <c r="E471" s="3">
        <v>44270</v>
      </c>
      <c r="F471" s="2" t="s">
        <v>34</v>
      </c>
      <c r="G471" s="2" t="s">
        <v>27</v>
      </c>
      <c r="H471" s="2" t="s">
        <v>28</v>
      </c>
      <c r="I471" s="2">
        <v>0</v>
      </c>
      <c r="J471" s="2">
        <v>4700.5600000000004</v>
      </c>
      <c r="K471" s="2">
        <v>4700.5600000000004</v>
      </c>
      <c r="L471" s="2" t="s">
        <v>47</v>
      </c>
      <c r="M471" s="5" t="s">
        <v>39</v>
      </c>
    </row>
    <row r="472" spans="1:13" x14ac:dyDescent="0.35">
      <c r="A472" s="4">
        <v>416282</v>
      </c>
      <c r="B472" s="2">
        <v>7579940019</v>
      </c>
      <c r="C472" s="2" t="s">
        <v>4</v>
      </c>
      <c r="D472" s="2" t="s">
        <v>19</v>
      </c>
      <c r="E472" s="3">
        <v>44973</v>
      </c>
      <c r="F472" s="2" t="s">
        <v>21</v>
      </c>
      <c r="G472" s="2" t="s">
        <v>22</v>
      </c>
      <c r="H472" s="2" t="s">
        <v>31</v>
      </c>
      <c r="I472" s="2">
        <v>235.59</v>
      </c>
      <c r="J472" s="2">
        <v>1899.77</v>
      </c>
      <c r="K472" s="2">
        <v>1664.18</v>
      </c>
      <c r="L472" s="2" t="s">
        <v>37</v>
      </c>
      <c r="M472" s="5" t="s">
        <v>40</v>
      </c>
    </row>
    <row r="473" spans="1:13" x14ac:dyDescent="0.35">
      <c r="A473" s="4">
        <v>250540</v>
      </c>
      <c r="B473" s="2">
        <v>2990636104</v>
      </c>
      <c r="C473" s="2" t="s">
        <v>3</v>
      </c>
      <c r="D473" s="2" t="s">
        <v>18</v>
      </c>
      <c r="E473" s="3">
        <v>43752</v>
      </c>
      <c r="F473" s="2" t="s">
        <v>32</v>
      </c>
      <c r="G473" s="2" t="s">
        <v>27</v>
      </c>
      <c r="H473" s="2" t="s">
        <v>28</v>
      </c>
      <c r="I473" s="2">
        <v>0</v>
      </c>
      <c r="J473" s="2">
        <v>570.61</v>
      </c>
      <c r="K473" s="2">
        <v>570.61</v>
      </c>
      <c r="L473" s="2" t="s">
        <v>37</v>
      </c>
      <c r="M473" s="5" t="s">
        <v>38</v>
      </c>
    </row>
    <row r="474" spans="1:13" x14ac:dyDescent="0.35">
      <c r="A474" s="4">
        <v>566895</v>
      </c>
      <c r="B474" s="2">
        <v>5514597408</v>
      </c>
      <c r="C474" s="2" t="s">
        <v>4</v>
      </c>
      <c r="D474" s="2" t="s">
        <v>18</v>
      </c>
      <c r="E474" s="3">
        <v>44339</v>
      </c>
      <c r="F474" s="2" t="s">
        <v>25</v>
      </c>
      <c r="G474" s="2" t="s">
        <v>22</v>
      </c>
      <c r="H474" s="2" t="s">
        <v>24</v>
      </c>
      <c r="I474" s="2">
        <v>139.85</v>
      </c>
      <c r="J474" s="2">
        <v>4088.51</v>
      </c>
      <c r="K474" s="2">
        <v>3948.66</v>
      </c>
      <c r="L474" s="2" t="s">
        <v>43</v>
      </c>
      <c r="M474" s="5" t="s">
        <v>53</v>
      </c>
    </row>
    <row r="475" spans="1:13" x14ac:dyDescent="0.35">
      <c r="A475" s="4">
        <v>646302</v>
      </c>
      <c r="B475" s="2">
        <v>2204154538</v>
      </c>
      <c r="C475" s="2" t="s">
        <v>3</v>
      </c>
      <c r="D475" s="2" t="s">
        <v>16</v>
      </c>
      <c r="E475" s="3">
        <v>44336</v>
      </c>
      <c r="F475" s="2" t="s">
        <v>21</v>
      </c>
      <c r="G475" s="2" t="s">
        <v>22</v>
      </c>
      <c r="H475" s="2" t="s">
        <v>33</v>
      </c>
      <c r="I475" s="2">
        <v>85.32</v>
      </c>
      <c r="J475" s="2">
        <v>5264.08</v>
      </c>
      <c r="K475" s="2">
        <v>5178.76</v>
      </c>
      <c r="L475" s="2" t="s">
        <v>37</v>
      </c>
      <c r="M475" s="5" t="s">
        <v>51</v>
      </c>
    </row>
    <row r="476" spans="1:13" x14ac:dyDescent="0.35">
      <c r="A476" s="4">
        <v>420580</v>
      </c>
      <c r="B476" s="2">
        <v>3435867338</v>
      </c>
      <c r="C476" s="2" t="s">
        <v>4</v>
      </c>
      <c r="D476" s="2" t="s">
        <v>20</v>
      </c>
      <c r="E476" s="3">
        <v>45208</v>
      </c>
      <c r="F476" s="2" t="s">
        <v>34</v>
      </c>
      <c r="G476" s="2" t="s">
        <v>27</v>
      </c>
      <c r="H476" s="2" t="s">
        <v>28</v>
      </c>
      <c r="I476" s="2">
        <v>0</v>
      </c>
      <c r="J476" s="2">
        <v>3197.69</v>
      </c>
      <c r="K476" s="2">
        <v>3197.69</v>
      </c>
      <c r="L476" s="2" t="s">
        <v>41</v>
      </c>
      <c r="M476" s="5" t="s">
        <v>39</v>
      </c>
    </row>
    <row r="477" spans="1:13" x14ac:dyDescent="0.35">
      <c r="A477" s="4">
        <v>385980</v>
      </c>
      <c r="B477" s="2">
        <v>2919148512</v>
      </c>
      <c r="C477" s="2" t="s">
        <v>5</v>
      </c>
      <c r="D477" s="2" t="s">
        <v>19</v>
      </c>
      <c r="E477" s="3">
        <v>45249</v>
      </c>
      <c r="F477" s="2" t="s">
        <v>25</v>
      </c>
      <c r="G477" s="2" t="s">
        <v>22</v>
      </c>
      <c r="H477" s="2" t="s">
        <v>31</v>
      </c>
      <c r="I477" s="2">
        <v>107.71</v>
      </c>
      <c r="J477" s="2">
        <v>4211.72</v>
      </c>
      <c r="K477" s="2">
        <v>4104.01</v>
      </c>
      <c r="L477" s="2" t="s">
        <v>55</v>
      </c>
      <c r="M477" s="5" t="s">
        <v>40</v>
      </c>
    </row>
    <row r="478" spans="1:13" x14ac:dyDescent="0.35">
      <c r="A478" s="4">
        <v>596265</v>
      </c>
      <c r="B478" s="2">
        <v>4895472923</v>
      </c>
      <c r="C478" s="2" t="s">
        <v>4</v>
      </c>
      <c r="D478" s="2" t="s">
        <v>16</v>
      </c>
      <c r="E478" s="3">
        <v>44705</v>
      </c>
      <c r="F478" s="2" t="s">
        <v>35</v>
      </c>
      <c r="G478" s="2" t="s">
        <v>22</v>
      </c>
      <c r="H478" s="2" t="s">
        <v>24</v>
      </c>
      <c r="I478" s="2">
        <v>104.17</v>
      </c>
      <c r="J478" s="2">
        <v>3062.78</v>
      </c>
      <c r="K478" s="2">
        <v>2958.61</v>
      </c>
      <c r="L478" s="2" t="s">
        <v>41</v>
      </c>
      <c r="M478" s="5" t="s">
        <v>38</v>
      </c>
    </row>
    <row r="479" spans="1:13" x14ac:dyDescent="0.35">
      <c r="A479" s="4">
        <v>223179</v>
      </c>
      <c r="B479" s="2">
        <v>3944737340</v>
      </c>
      <c r="C479" s="2" t="s">
        <v>5</v>
      </c>
      <c r="D479" s="2" t="s">
        <v>16</v>
      </c>
      <c r="E479" s="3">
        <v>44449</v>
      </c>
      <c r="F479" s="2" t="s">
        <v>21</v>
      </c>
      <c r="G479" s="2" t="s">
        <v>27</v>
      </c>
      <c r="H479" s="2" t="s">
        <v>28</v>
      </c>
      <c r="I479" s="2">
        <v>0</v>
      </c>
      <c r="J479" s="2">
        <v>1279.8</v>
      </c>
      <c r="K479" s="2">
        <v>1279.8</v>
      </c>
      <c r="L479" s="2" t="s">
        <v>37</v>
      </c>
      <c r="M479" s="5" t="s">
        <v>40</v>
      </c>
    </row>
    <row r="480" spans="1:13" x14ac:dyDescent="0.35">
      <c r="A480" s="4">
        <v>541875</v>
      </c>
      <c r="B480" s="2">
        <v>1122738790</v>
      </c>
      <c r="C480" s="2" t="s">
        <v>3</v>
      </c>
      <c r="D480" s="2" t="s">
        <v>16</v>
      </c>
      <c r="E480" s="3">
        <v>45037</v>
      </c>
      <c r="F480" s="2" t="s">
        <v>25</v>
      </c>
      <c r="G480" s="2" t="s">
        <v>22</v>
      </c>
      <c r="H480" s="2" t="s">
        <v>24</v>
      </c>
      <c r="I480" s="2">
        <v>388.49</v>
      </c>
      <c r="J480" s="2">
        <v>2304.7600000000002</v>
      </c>
      <c r="K480" s="2">
        <v>1916.27</v>
      </c>
      <c r="L480" s="2" t="s">
        <v>41</v>
      </c>
      <c r="M480" s="5" t="s">
        <v>39</v>
      </c>
    </row>
    <row r="481" spans="1:13" x14ac:dyDescent="0.35">
      <c r="A481" s="4">
        <v>915044</v>
      </c>
      <c r="B481" s="2">
        <v>5886415510</v>
      </c>
      <c r="C481" s="2" t="s">
        <v>3</v>
      </c>
      <c r="D481" s="2" t="s">
        <v>16</v>
      </c>
      <c r="E481" s="3">
        <v>45464</v>
      </c>
      <c r="F481" s="2" t="s">
        <v>21</v>
      </c>
      <c r="G481" s="2" t="s">
        <v>22</v>
      </c>
      <c r="H481" s="2" t="s">
        <v>31</v>
      </c>
      <c r="I481" s="2">
        <v>411.84</v>
      </c>
      <c r="J481" s="2">
        <v>3198.83</v>
      </c>
      <c r="K481" s="2">
        <v>2786.99</v>
      </c>
      <c r="L481" s="2" t="s">
        <v>37</v>
      </c>
      <c r="M481" s="5" t="s">
        <v>40</v>
      </c>
    </row>
    <row r="482" spans="1:13" x14ac:dyDescent="0.35">
      <c r="A482" s="4">
        <v>859233</v>
      </c>
      <c r="B482" s="2">
        <v>9559039917</v>
      </c>
      <c r="C482" s="2" t="s">
        <v>3</v>
      </c>
      <c r="D482" s="2" t="s">
        <v>16</v>
      </c>
      <c r="E482" s="3">
        <v>44069</v>
      </c>
      <c r="F482" s="2" t="s">
        <v>32</v>
      </c>
      <c r="G482" s="2" t="s">
        <v>27</v>
      </c>
      <c r="H482" s="2" t="s">
        <v>28</v>
      </c>
      <c r="I482" s="2">
        <v>0</v>
      </c>
      <c r="J482" s="2">
        <v>2701.7</v>
      </c>
      <c r="K482" s="2">
        <v>2701.7</v>
      </c>
      <c r="L482" s="2" t="s">
        <v>45</v>
      </c>
      <c r="M482" s="5" t="s">
        <v>51</v>
      </c>
    </row>
    <row r="483" spans="1:13" x14ac:dyDescent="0.35">
      <c r="A483" s="4">
        <v>147801</v>
      </c>
      <c r="B483" s="2">
        <v>2521910304</v>
      </c>
      <c r="C483" s="2" t="s">
        <v>4</v>
      </c>
      <c r="D483" s="2" t="s">
        <v>18</v>
      </c>
      <c r="E483" s="3">
        <v>43932</v>
      </c>
      <c r="F483" s="2" t="s">
        <v>25</v>
      </c>
      <c r="G483" s="2" t="s">
        <v>22</v>
      </c>
      <c r="H483" s="2" t="s">
        <v>24</v>
      </c>
      <c r="I483" s="2">
        <v>360.74</v>
      </c>
      <c r="J483" s="2">
        <v>602.21</v>
      </c>
      <c r="K483" s="2">
        <v>241.47</v>
      </c>
      <c r="L483" s="2" t="s">
        <v>41</v>
      </c>
      <c r="M483" s="5" t="s">
        <v>48</v>
      </c>
    </row>
    <row r="484" spans="1:13" x14ac:dyDescent="0.35">
      <c r="A484" s="4">
        <v>877007</v>
      </c>
      <c r="B484" s="2">
        <v>3731709915</v>
      </c>
      <c r="C484" s="2" t="s">
        <v>4</v>
      </c>
      <c r="D484" s="2" t="s">
        <v>18</v>
      </c>
      <c r="E484" s="3">
        <v>44777</v>
      </c>
      <c r="F484" s="2" t="s">
        <v>35</v>
      </c>
      <c r="G484" s="2" t="s">
        <v>27</v>
      </c>
      <c r="H484" s="2" t="s">
        <v>28</v>
      </c>
      <c r="I484" s="2">
        <v>0</v>
      </c>
      <c r="J484" s="2">
        <v>2091.94</v>
      </c>
      <c r="K484" s="2">
        <v>2091.94</v>
      </c>
      <c r="L484" s="2" t="s">
        <v>41</v>
      </c>
      <c r="M484" s="5" t="s">
        <v>40</v>
      </c>
    </row>
    <row r="485" spans="1:13" x14ac:dyDescent="0.35">
      <c r="A485" s="4">
        <v>358462</v>
      </c>
      <c r="B485" s="2">
        <v>9557538383</v>
      </c>
      <c r="C485" s="2" t="s">
        <v>3</v>
      </c>
      <c r="D485" s="2" t="s">
        <v>18</v>
      </c>
      <c r="E485" s="3">
        <v>43799</v>
      </c>
      <c r="F485" s="2" t="s">
        <v>32</v>
      </c>
      <c r="G485" s="2" t="s">
        <v>22</v>
      </c>
      <c r="H485" s="2" t="s">
        <v>29</v>
      </c>
      <c r="I485" s="2">
        <v>178.07</v>
      </c>
      <c r="J485" s="2">
        <v>2244.6999999999998</v>
      </c>
      <c r="K485" s="2">
        <v>2066.63</v>
      </c>
      <c r="L485" s="2" t="s">
        <v>55</v>
      </c>
      <c r="M485" s="5" t="s">
        <v>49</v>
      </c>
    </row>
    <row r="486" spans="1:13" x14ac:dyDescent="0.35">
      <c r="A486" s="4">
        <v>838253</v>
      </c>
      <c r="B486" s="2">
        <v>3825803399</v>
      </c>
      <c r="C486" s="2" t="s">
        <v>4</v>
      </c>
      <c r="D486" s="2" t="s">
        <v>16</v>
      </c>
      <c r="E486" s="3">
        <v>45298</v>
      </c>
      <c r="F486" s="2" t="s">
        <v>26</v>
      </c>
      <c r="G486" s="2" t="s">
        <v>22</v>
      </c>
      <c r="H486" s="2" t="s">
        <v>29</v>
      </c>
      <c r="I486" s="2">
        <v>338.26</v>
      </c>
      <c r="J486" s="2">
        <v>5235.24</v>
      </c>
      <c r="K486" s="2">
        <v>4896.9799999999996</v>
      </c>
      <c r="L486" s="2" t="s">
        <v>43</v>
      </c>
      <c r="M486" s="5" t="s">
        <v>40</v>
      </c>
    </row>
    <row r="487" spans="1:13" x14ac:dyDescent="0.35">
      <c r="A487" s="4">
        <v>583122</v>
      </c>
      <c r="B487" s="2">
        <v>5699610216</v>
      </c>
      <c r="C487" s="2" t="s">
        <v>4</v>
      </c>
      <c r="D487" s="2" t="s">
        <v>18</v>
      </c>
      <c r="E487" s="3">
        <v>44234</v>
      </c>
      <c r="F487" s="2" t="s">
        <v>35</v>
      </c>
      <c r="G487" s="2" t="s">
        <v>22</v>
      </c>
      <c r="H487" s="2" t="s">
        <v>24</v>
      </c>
      <c r="I487" s="2">
        <v>343.86</v>
      </c>
      <c r="J487" s="2">
        <v>3559.64</v>
      </c>
      <c r="K487" s="2">
        <v>3215.78</v>
      </c>
      <c r="L487" s="2" t="s">
        <v>50</v>
      </c>
      <c r="M487" s="5" t="s">
        <v>51</v>
      </c>
    </row>
    <row r="488" spans="1:13" x14ac:dyDescent="0.35">
      <c r="A488" s="4">
        <v>453215</v>
      </c>
      <c r="B488" s="2">
        <v>2474967725</v>
      </c>
      <c r="C488" s="2" t="s">
        <v>3</v>
      </c>
      <c r="D488" s="2" t="s">
        <v>16</v>
      </c>
      <c r="E488" s="3">
        <v>44016</v>
      </c>
      <c r="F488" s="2" t="s">
        <v>25</v>
      </c>
      <c r="G488" s="2" t="s">
        <v>27</v>
      </c>
      <c r="H488" s="2" t="s">
        <v>28</v>
      </c>
      <c r="I488" s="2">
        <v>0</v>
      </c>
      <c r="J488" s="2">
        <v>2265.7399999999998</v>
      </c>
      <c r="K488" s="2">
        <v>2265.7399999999998</v>
      </c>
      <c r="L488" s="2" t="s">
        <v>43</v>
      </c>
      <c r="M488" s="5" t="s">
        <v>49</v>
      </c>
    </row>
    <row r="489" spans="1:13" x14ac:dyDescent="0.35">
      <c r="A489" s="4">
        <v>229827</v>
      </c>
      <c r="B489" s="2">
        <v>8552409831</v>
      </c>
      <c r="C489" s="2" t="s">
        <v>5</v>
      </c>
      <c r="D489" s="2" t="s">
        <v>18</v>
      </c>
      <c r="E489" s="3">
        <v>44311</v>
      </c>
      <c r="F489" s="2" t="s">
        <v>21</v>
      </c>
      <c r="G489" s="2" t="s">
        <v>22</v>
      </c>
      <c r="H489" s="2" t="s">
        <v>33</v>
      </c>
      <c r="I489" s="2">
        <v>228.67</v>
      </c>
      <c r="J489" s="2">
        <v>674.78</v>
      </c>
      <c r="K489" s="2">
        <v>446.11</v>
      </c>
      <c r="L489" s="2" t="s">
        <v>37</v>
      </c>
      <c r="M489" s="5" t="s">
        <v>44</v>
      </c>
    </row>
    <row r="490" spans="1:13" x14ac:dyDescent="0.35">
      <c r="A490" s="4">
        <v>213043</v>
      </c>
      <c r="B490" s="2">
        <v>4889726996</v>
      </c>
      <c r="C490" s="2" t="s">
        <v>4</v>
      </c>
      <c r="D490" s="2" t="s">
        <v>19</v>
      </c>
      <c r="E490" s="3">
        <v>44074</v>
      </c>
      <c r="F490" s="2" t="s">
        <v>21</v>
      </c>
      <c r="G490" s="2" t="s">
        <v>27</v>
      </c>
      <c r="H490" s="2" t="s">
        <v>28</v>
      </c>
      <c r="I490" s="2">
        <v>0</v>
      </c>
      <c r="J490" s="2">
        <v>3305.19</v>
      </c>
      <c r="K490" s="2">
        <v>3305.19</v>
      </c>
      <c r="L490" s="2" t="s">
        <v>37</v>
      </c>
      <c r="M490" s="5" t="s">
        <v>51</v>
      </c>
    </row>
    <row r="491" spans="1:13" x14ac:dyDescent="0.35">
      <c r="A491" s="4">
        <v>334639</v>
      </c>
      <c r="B491" s="2">
        <v>1610899978</v>
      </c>
      <c r="C491" s="2" t="s">
        <v>4</v>
      </c>
      <c r="D491" s="2" t="s">
        <v>18</v>
      </c>
      <c r="E491" s="3">
        <v>44822</v>
      </c>
      <c r="F491" s="2" t="s">
        <v>32</v>
      </c>
      <c r="G491" s="2" t="s">
        <v>22</v>
      </c>
      <c r="H491" s="2" t="s">
        <v>33</v>
      </c>
      <c r="I491" s="2">
        <v>427.33</v>
      </c>
      <c r="J491" s="2">
        <v>348.45</v>
      </c>
      <c r="K491" s="2">
        <v>-78.88</v>
      </c>
      <c r="L491" s="2" t="s">
        <v>37</v>
      </c>
      <c r="M491" s="5" t="s">
        <v>40</v>
      </c>
    </row>
    <row r="492" spans="1:13" x14ac:dyDescent="0.35">
      <c r="A492" s="4">
        <v>315093</v>
      </c>
      <c r="B492" s="2">
        <v>3474349799</v>
      </c>
      <c r="C492" s="2" t="s">
        <v>5</v>
      </c>
      <c r="D492" s="2" t="s">
        <v>17</v>
      </c>
      <c r="E492" s="3">
        <v>44581</v>
      </c>
      <c r="F492" s="2" t="s">
        <v>25</v>
      </c>
      <c r="G492" s="2" t="s">
        <v>27</v>
      </c>
      <c r="H492" s="2" t="s">
        <v>28</v>
      </c>
      <c r="I492" s="2">
        <v>0</v>
      </c>
      <c r="J492" s="2">
        <v>2908.81</v>
      </c>
      <c r="K492" s="2">
        <v>2908.81</v>
      </c>
      <c r="L492" s="2" t="s">
        <v>41</v>
      </c>
      <c r="M492" s="5" t="s">
        <v>39</v>
      </c>
    </row>
    <row r="493" spans="1:13" x14ac:dyDescent="0.35">
      <c r="A493" s="4">
        <v>676051</v>
      </c>
      <c r="B493" s="2">
        <v>6011667728</v>
      </c>
      <c r="C493" s="2" t="s">
        <v>5</v>
      </c>
      <c r="D493" s="2" t="s">
        <v>16</v>
      </c>
      <c r="E493" s="3">
        <v>44691</v>
      </c>
      <c r="F493" s="2" t="s">
        <v>26</v>
      </c>
      <c r="G493" s="2" t="s">
        <v>27</v>
      </c>
      <c r="H493" s="2" t="s">
        <v>28</v>
      </c>
      <c r="I493" s="2">
        <v>0</v>
      </c>
      <c r="J493" s="2">
        <v>3401.31</v>
      </c>
      <c r="K493" s="2">
        <v>3401.31</v>
      </c>
      <c r="L493" s="2" t="s">
        <v>37</v>
      </c>
      <c r="M493" s="5" t="s">
        <v>49</v>
      </c>
    </row>
    <row r="494" spans="1:13" x14ac:dyDescent="0.35">
      <c r="A494" s="4">
        <v>918035</v>
      </c>
      <c r="B494" s="2">
        <v>2134697810</v>
      </c>
      <c r="C494" s="2" t="s">
        <v>3</v>
      </c>
      <c r="D494" s="2" t="s">
        <v>19</v>
      </c>
      <c r="E494" s="3">
        <v>45440</v>
      </c>
      <c r="F494" s="2" t="s">
        <v>25</v>
      </c>
      <c r="G494" s="2" t="s">
        <v>27</v>
      </c>
      <c r="H494" s="2" t="s">
        <v>28</v>
      </c>
      <c r="I494" s="2">
        <v>0</v>
      </c>
      <c r="J494" s="2">
        <v>2686.49</v>
      </c>
      <c r="K494" s="2">
        <v>2686.49</v>
      </c>
      <c r="L494" s="2" t="s">
        <v>41</v>
      </c>
      <c r="M494" s="5" t="s">
        <v>39</v>
      </c>
    </row>
    <row r="495" spans="1:13" x14ac:dyDescent="0.35">
      <c r="A495" s="4">
        <v>305222</v>
      </c>
      <c r="B495" s="2">
        <v>8196836214</v>
      </c>
      <c r="C495" s="2" t="s">
        <v>3</v>
      </c>
      <c r="D495" s="2" t="s">
        <v>19</v>
      </c>
      <c r="E495" s="3">
        <v>44473</v>
      </c>
      <c r="F495" s="2" t="s">
        <v>21</v>
      </c>
      <c r="G495" s="2" t="s">
        <v>27</v>
      </c>
      <c r="H495" s="2" t="s">
        <v>28</v>
      </c>
      <c r="I495" s="2">
        <v>0</v>
      </c>
      <c r="J495" s="2">
        <v>3019.75</v>
      </c>
      <c r="K495" s="2">
        <v>3019.75</v>
      </c>
      <c r="L495" s="2" t="s">
        <v>50</v>
      </c>
      <c r="M495" s="5" t="s">
        <v>40</v>
      </c>
    </row>
    <row r="496" spans="1:13" x14ac:dyDescent="0.35">
      <c r="A496" s="4">
        <v>333041</v>
      </c>
      <c r="B496" s="2">
        <v>2477236888</v>
      </c>
      <c r="C496" s="2" t="s">
        <v>5</v>
      </c>
      <c r="D496" s="2" t="s">
        <v>16</v>
      </c>
      <c r="E496" s="3">
        <v>43886</v>
      </c>
      <c r="F496" s="2" t="s">
        <v>25</v>
      </c>
      <c r="G496" s="2" t="s">
        <v>22</v>
      </c>
      <c r="H496" s="2" t="s">
        <v>31</v>
      </c>
      <c r="I496" s="2">
        <v>296.7</v>
      </c>
      <c r="J496" s="2">
        <v>950.13</v>
      </c>
      <c r="K496" s="2">
        <v>653.42999999999995</v>
      </c>
      <c r="L496" s="2" t="s">
        <v>37</v>
      </c>
      <c r="M496" s="5" t="s">
        <v>40</v>
      </c>
    </row>
    <row r="497" spans="1:13" x14ac:dyDescent="0.35">
      <c r="A497" s="4">
        <v>194546</v>
      </c>
      <c r="B497" s="2">
        <v>7543694402</v>
      </c>
      <c r="C497" s="2" t="s">
        <v>4</v>
      </c>
      <c r="D497" s="2" t="s">
        <v>16</v>
      </c>
      <c r="E497" s="3">
        <v>45150</v>
      </c>
      <c r="F497" s="2" t="s">
        <v>21</v>
      </c>
      <c r="G497" s="2" t="s">
        <v>22</v>
      </c>
      <c r="H497" s="2" t="s">
        <v>33</v>
      </c>
      <c r="I497" s="2">
        <v>240.01</v>
      </c>
      <c r="J497" s="2">
        <v>2203.94</v>
      </c>
      <c r="K497" s="2">
        <v>1963.93</v>
      </c>
      <c r="L497" s="2" t="s">
        <v>45</v>
      </c>
      <c r="M497" s="5" t="s">
        <v>54</v>
      </c>
    </row>
    <row r="498" spans="1:13" x14ac:dyDescent="0.35">
      <c r="A498" s="4">
        <v>959943</v>
      </c>
      <c r="B498" s="2">
        <v>6798623914</v>
      </c>
      <c r="C498" s="2" t="s">
        <v>3</v>
      </c>
      <c r="D498" s="2" t="s">
        <v>16</v>
      </c>
      <c r="E498" s="3">
        <v>44636</v>
      </c>
      <c r="F498" s="2" t="s">
        <v>26</v>
      </c>
      <c r="G498" s="2" t="s">
        <v>22</v>
      </c>
      <c r="H498" s="2" t="s">
        <v>33</v>
      </c>
      <c r="I498" s="2">
        <v>99.66</v>
      </c>
      <c r="J498" s="2">
        <v>2576.56</v>
      </c>
      <c r="K498" s="2">
        <v>2476.9</v>
      </c>
      <c r="L498" s="2" t="s">
        <v>50</v>
      </c>
      <c r="M498" s="5" t="s">
        <v>48</v>
      </c>
    </row>
    <row r="499" spans="1:13" x14ac:dyDescent="0.35">
      <c r="A499" s="4">
        <v>236927</v>
      </c>
      <c r="B499" s="2">
        <v>5639625630</v>
      </c>
      <c r="C499" s="2" t="s">
        <v>3</v>
      </c>
      <c r="D499" s="2" t="s">
        <v>20</v>
      </c>
      <c r="E499" s="3">
        <v>45067</v>
      </c>
      <c r="F499" s="2" t="s">
        <v>35</v>
      </c>
      <c r="G499" s="2" t="s">
        <v>22</v>
      </c>
      <c r="H499" s="2" t="s">
        <v>33</v>
      </c>
      <c r="I499" s="2">
        <v>96.02</v>
      </c>
      <c r="J499" s="2">
        <v>1746.72</v>
      </c>
      <c r="K499" s="2">
        <v>1650.7</v>
      </c>
      <c r="L499" s="2" t="s">
        <v>37</v>
      </c>
      <c r="M499" s="5" t="s">
        <v>51</v>
      </c>
    </row>
    <row r="500" spans="1:13" x14ac:dyDescent="0.35">
      <c r="A500" s="4">
        <v>860863</v>
      </c>
      <c r="B500" s="2">
        <v>5195320378</v>
      </c>
      <c r="C500" s="2" t="s">
        <v>5</v>
      </c>
      <c r="D500" s="2" t="s">
        <v>16</v>
      </c>
      <c r="E500" s="3">
        <v>43978</v>
      </c>
      <c r="F500" s="2" t="s">
        <v>21</v>
      </c>
      <c r="G500" s="2" t="s">
        <v>27</v>
      </c>
      <c r="H500" s="2" t="s">
        <v>28</v>
      </c>
      <c r="I500" s="2">
        <v>0</v>
      </c>
      <c r="J500" s="2">
        <v>4158.8100000000004</v>
      </c>
      <c r="K500" s="2">
        <v>4158.8100000000004</v>
      </c>
      <c r="L500" s="2" t="s">
        <v>37</v>
      </c>
      <c r="M500" s="5" t="s">
        <v>40</v>
      </c>
    </row>
    <row r="501" spans="1:13" x14ac:dyDescent="0.35">
      <c r="A501" s="6">
        <v>498281</v>
      </c>
      <c r="B501" s="7">
        <v>3510839232</v>
      </c>
      <c r="C501" s="7" t="s">
        <v>5</v>
      </c>
      <c r="D501" s="7" t="s">
        <v>18</v>
      </c>
      <c r="E501" s="8">
        <v>44734</v>
      </c>
      <c r="F501" s="7" t="s">
        <v>25</v>
      </c>
      <c r="G501" s="7" t="s">
        <v>22</v>
      </c>
      <c r="H501" s="7" t="s">
        <v>33</v>
      </c>
      <c r="I501" s="7">
        <v>399.04</v>
      </c>
      <c r="J501" s="7">
        <v>513.59</v>
      </c>
      <c r="K501" s="7">
        <v>114.55</v>
      </c>
      <c r="L501" s="7" t="s">
        <v>47</v>
      </c>
      <c r="M501" s="9" t="s">
        <v>48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79003-F364-499F-8BD0-8B939995EFB2}">
  <sheetPr>
    <tabColor rgb="FF00B0F0"/>
  </sheetPr>
  <dimension ref="A3:M68"/>
  <sheetViews>
    <sheetView topLeftCell="C1" workbookViewId="0">
      <selection activeCell="M14" sqref="M14"/>
    </sheetView>
  </sheetViews>
  <sheetFormatPr defaultRowHeight="14.5" x14ac:dyDescent="0.35"/>
  <cols>
    <col min="1" max="1" width="16.1796875" bestFit="1" customWidth="1"/>
    <col min="2" max="2" width="19.81640625" bestFit="1" customWidth="1"/>
    <col min="4" max="4" width="12.36328125" bestFit="1" customWidth="1"/>
    <col min="5" max="5" width="19.81640625" bestFit="1" customWidth="1"/>
    <col min="7" max="7" width="12.36328125" bestFit="1" customWidth="1"/>
    <col min="8" max="8" width="17.54296875" bestFit="1" customWidth="1"/>
    <col min="9" max="9" width="26.7265625" bestFit="1" customWidth="1"/>
    <col min="10" max="11" width="16.54296875" bestFit="1" customWidth="1"/>
    <col min="13" max="13" width="10.36328125" bestFit="1" customWidth="1"/>
  </cols>
  <sheetData>
    <row r="3" spans="1:13" x14ac:dyDescent="0.35">
      <c r="A3" s="14" t="s">
        <v>58</v>
      </c>
      <c r="B3" t="s">
        <v>60</v>
      </c>
      <c r="D3" s="14" t="s">
        <v>58</v>
      </c>
      <c r="E3" t="s">
        <v>60</v>
      </c>
      <c r="G3" s="14" t="s">
        <v>58</v>
      </c>
      <c r="H3" t="s">
        <v>60</v>
      </c>
      <c r="K3" t="s">
        <v>68</v>
      </c>
    </row>
    <row r="4" spans="1:13" x14ac:dyDescent="0.35">
      <c r="A4" s="15" t="s">
        <v>21</v>
      </c>
      <c r="B4" s="19">
        <v>408960.91000000003</v>
      </c>
      <c r="D4" s="15" t="s">
        <v>46</v>
      </c>
      <c r="E4" s="19">
        <v>11054.77</v>
      </c>
      <c r="G4" s="15" t="s">
        <v>3</v>
      </c>
      <c r="H4" s="19">
        <v>472783.29</v>
      </c>
      <c r="K4" s="19">
        <v>1475930.9599999993</v>
      </c>
      <c r="M4" s="18">
        <f>GETPIVOTDATA("Net Amount",$K$3)</f>
        <v>1475930.9599999993</v>
      </c>
    </row>
    <row r="5" spans="1:13" x14ac:dyDescent="0.35">
      <c r="A5" s="15" t="s">
        <v>25</v>
      </c>
      <c r="B5" s="19">
        <v>273280.59999999992</v>
      </c>
      <c r="D5" s="15" t="s">
        <v>57</v>
      </c>
      <c r="E5" s="19">
        <v>21436.530000000002</v>
      </c>
      <c r="G5" s="15" t="s">
        <v>4</v>
      </c>
      <c r="H5" s="19">
        <v>514819</v>
      </c>
    </row>
    <row r="6" spans="1:13" x14ac:dyDescent="0.35">
      <c r="A6" s="15" t="s">
        <v>35</v>
      </c>
      <c r="B6" s="19">
        <v>267062.84999999998</v>
      </c>
      <c r="D6" s="15" t="s">
        <v>56</v>
      </c>
      <c r="E6" s="19">
        <v>24163.440000000002</v>
      </c>
      <c r="G6" s="15" t="s">
        <v>5</v>
      </c>
      <c r="H6" s="19">
        <v>488328.67</v>
      </c>
      <c r="K6" t="s">
        <v>69</v>
      </c>
      <c r="M6" s="18">
        <f>GETPIVOTDATA("Net Amount",$K$6)</f>
        <v>2951.8619199999985</v>
      </c>
    </row>
    <row r="7" spans="1:13" x14ac:dyDescent="0.35">
      <c r="A7" s="15" t="s">
        <v>32</v>
      </c>
      <c r="B7" s="19">
        <v>162884.42000000001</v>
      </c>
      <c r="D7" s="15" t="s">
        <v>5</v>
      </c>
      <c r="E7" s="19">
        <v>24731.83</v>
      </c>
      <c r="G7" s="15" t="s">
        <v>59</v>
      </c>
      <c r="H7" s="19">
        <v>1475930.96</v>
      </c>
      <c r="K7" s="19">
        <v>2951.8619199999985</v>
      </c>
    </row>
    <row r="8" spans="1:13" x14ac:dyDescent="0.35">
      <c r="A8" s="15" t="s">
        <v>26</v>
      </c>
      <c r="B8" s="19">
        <v>132743.10999999996</v>
      </c>
      <c r="D8" s="15" t="s">
        <v>52</v>
      </c>
      <c r="E8" s="19">
        <v>34012.839999999997</v>
      </c>
    </row>
    <row r="9" spans="1:13" x14ac:dyDescent="0.35">
      <c r="A9" s="15" t="s">
        <v>36</v>
      </c>
      <c r="B9" s="19">
        <v>71289.8</v>
      </c>
      <c r="D9" s="15" t="s">
        <v>53</v>
      </c>
      <c r="E9" s="19">
        <v>39668.33</v>
      </c>
      <c r="G9" s="14" t="s">
        <v>58</v>
      </c>
      <c r="H9" t="s">
        <v>60</v>
      </c>
      <c r="I9" t="s">
        <v>61</v>
      </c>
      <c r="K9" t="s">
        <v>70</v>
      </c>
      <c r="M9">
        <f>GETPIVOTDATA("CID",$K$9)</f>
        <v>500</v>
      </c>
    </row>
    <row r="10" spans="1:13" x14ac:dyDescent="0.35">
      <c r="A10" s="15" t="s">
        <v>34</v>
      </c>
      <c r="B10" s="19">
        <v>57650.719999999987</v>
      </c>
      <c r="D10" s="15" t="s">
        <v>44</v>
      </c>
      <c r="E10" s="19">
        <v>76655.949999999983</v>
      </c>
      <c r="G10" s="15" t="s">
        <v>22</v>
      </c>
      <c r="H10" s="19">
        <v>686607.32000000007</v>
      </c>
      <c r="I10" s="19">
        <v>63964.68</v>
      </c>
      <c r="K10" s="19">
        <v>500</v>
      </c>
    </row>
    <row r="11" spans="1:13" x14ac:dyDescent="0.35">
      <c r="A11" s="15" t="s">
        <v>5</v>
      </c>
      <c r="B11" s="19">
        <v>51667.419999999991</v>
      </c>
      <c r="D11" s="15" t="s">
        <v>38</v>
      </c>
      <c r="E11" s="19">
        <v>77968.239999999991</v>
      </c>
      <c r="G11" s="15" t="s">
        <v>27</v>
      </c>
      <c r="H11" s="19">
        <v>789323.64</v>
      </c>
      <c r="I11" s="19">
        <v>0</v>
      </c>
    </row>
    <row r="12" spans="1:13" x14ac:dyDescent="0.35">
      <c r="A12" s="15" t="s">
        <v>30</v>
      </c>
      <c r="B12" s="19">
        <v>50391.13</v>
      </c>
      <c r="D12" s="15" t="s">
        <v>54</v>
      </c>
      <c r="E12" s="19">
        <v>78226.730000000025</v>
      </c>
      <c r="G12" s="15" t="s">
        <v>59</v>
      </c>
      <c r="H12" s="19">
        <v>1475930.96</v>
      </c>
      <c r="I12" s="19">
        <v>63964.68</v>
      </c>
    </row>
    <row r="13" spans="1:13" x14ac:dyDescent="0.35">
      <c r="A13" s="15" t="s">
        <v>59</v>
      </c>
      <c r="B13" s="19">
        <v>1475930.96</v>
      </c>
      <c r="D13" s="15" t="s">
        <v>48</v>
      </c>
      <c r="E13" s="19">
        <v>89114.36</v>
      </c>
    </row>
    <row r="14" spans="1:13" x14ac:dyDescent="0.35">
      <c r="D14" s="15" t="s">
        <v>49</v>
      </c>
      <c r="E14" s="19">
        <v>181955.91999999993</v>
      </c>
      <c r="G14" s="14" t="s">
        <v>58</v>
      </c>
      <c r="H14" t="s">
        <v>60</v>
      </c>
    </row>
    <row r="15" spans="1:13" x14ac:dyDescent="0.35">
      <c r="D15" s="15" t="s">
        <v>39</v>
      </c>
      <c r="E15" s="19">
        <v>237906.35999999996</v>
      </c>
      <c r="G15" s="15" t="s">
        <v>67</v>
      </c>
      <c r="H15" s="19">
        <v>209731.22</v>
      </c>
    </row>
    <row r="16" spans="1:13" x14ac:dyDescent="0.35">
      <c r="D16" s="15" t="s">
        <v>51</v>
      </c>
      <c r="E16" s="19">
        <v>263305.73</v>
      </c>
      <c r="G16" s="15" t="s">
        <v>66</v>
      </c>
      <c r="H16" s="19">
        <v>289360.80999999994</v>
      </c>
    </row>
    <row r="17" spans="4:8" x14ac:dyDescent="0.35">
      <c r="D17" s="15" t="s">
        <v>40</v>
      </c>
      <c r="E17" s="19">
        <v>315729.92999999993</v>
      </c>
      <c r="G17" s="15" t="s">
        <v>65</v>
      </c>
      <c r="H17" s="19">
        <v>343263.75999999978</v>
      </c>
    </row>
    <row r="18" spans="4:8" x14ac:dyDescent="0.35">
      <c r="D18" s="15" t="s">
        <v>59</v>
      </c>
      <c r="E18" s="19">
        <v>1475930.9599999997</v>
      </c>
      <c r="G18" s="15" t="s">
        <v>64</v>
      </c>
      <c r="H18" s="19">
        <v>209482.37999999998</v>
      </c>
    </row>
    <row r="19" spans="4:8" x14ac:dyDescent="0.35">
      <c r="G19" s="15" t="s">
        <v>63</v>
      </c>
      <c r="H19" s="19">
        <v>286524.7199999998</v>
      </c>
    </row>
    <row r="20" spans="4:8" x14ac:dyDescent="0.35">
      <c r="G20" s="15" t="s">
        <v>62</v>
      </c>
      <c r="H20" s="19">
        <v>137568.06999999998</v>
      </c>
    </row>
    <row r="21" spans="4:8" x14ac:dyDescent="0.35">
      <c r="G21" s="15" t="s">
        <v>59</v>
      </c>
      <c r="H21" s="19">
        <v>1475930.9599999995</v>
      </c>
    </row>
    <row r="61" spans="2:2" x14ac:dyDescent="0.35">
      <c r="B61" s="17"/>
    </row>
    <row r="62" spans="2:2" x14ac:dyDescent="0.35">
      <c r="B62" s="17"/>
    </row>
    <row r="65" spans="2:2" x14ac:dyDescent="0.35">
      <c r="B65" s="17"/>
    </row>
    <row r="68" spans="2:2" x14ac:dyDescent="0.35">
      <c r="B68" s="17"/>
    </row>
  </sheetData>
  <autoFilter ref="A3:E18" xr:uid="{2F679003-F364-499F-8BD0-8B939995EFB2}"/>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60F45-0855-464A-836D-9F308E7EC9DE}">
  <sheetPr>
    <tabColor theme="4" tint="-0.249977111117893"/>
  </sheetPr>
  <dimension ref="A1"/>
  <sheetViews>
    <sheetView showGridLines="0" showRowColHeaders="0" tabSelected="1" workbookViewId="0">
      <selection activeCell="N37" sqref="N37"/>
      <extLst>
        <ext xmlns:xlsdti="http://schemas.microsoft.com/office/spreadsheetml/2023/showDataTypeIcons" uri="{77bfe23e-c014-4d31-8a63-9c772dbf06b6}">
          <xlsdti:showDataTypeIcons visible="0"/>
        </ext>
      </extLst>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Lithvina</dc:creator>
  <cp:lastModifiedBy>S0176838</cp:lastModifiedBy>
  <dcterms:created xsi:type="dcterms:W3CDTF">2026-01-08T07:22:44Z</dcterms:created>
  <dcterms:modified xsi:type="dcterms:W3CDTF">2026-02-22T16:13:38Z</dcterms:modified>
</cp:coreProperties>
</file>